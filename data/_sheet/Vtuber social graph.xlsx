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ests" sheetId="1" r:id="rId5"/>
    <sheet state="visible" name="groupsFormal" sheetId="2" r:id="rId6"/>
    <sheet state="visible" name="groupsInformal" sheetId="3" r:id="rId7"/>
    <sheet state="visible" name="talents" sheetId="4" r:id="rId8"/>
    <sheet state="visible" name="support tables" sheetId="5" r:id="rId9"/>
  </sheets>
  <definedNames>
    <definedName name="formalDisplayGroup">groupsFormal!$C$2:$C$19</definedName>
    <definedName name="indyGroupName">groupsInformal!$D$2:$D$8</definedName>
    <definedName name="talentCollab">talents!$K$2:$K$131</definedName>
    <definedName name="interestName">interests!$C$2:$C$13</definedName>
    <definedName name="talentGroupInformal">talents!$I$2:$I$131</definedName>
    <definedName name="talentGroupFormal">talents!$H$2:$H$131</definedName>
    <definedName name="talentIndex">talents!$A$2:$A$131</definedName>
    <definedName name="displayGroup">'support tables'!$A$1:$A$17</definedName>
    <definedName name="formalGroupSubgroupParent">groupsFormal!$G$2:$G$19</definedName>
    <definedName name="formalGroups">groupsFormal!$C$2:$C$19</definedName>
    <definedName name="formalGroupName">groupsFormal!$D$2:$D$19</definedName>
    <definedName name="talentInterests">talents!$J$2:$J$131</definedName>
    <definedName name="talentName">talents!$C$2:$C$131</definedName>
    <definedName name="informalDisplayGroup">groupsInformal!$C$2:$C$8</definedName>
  </definedNames>
  <calcPr/>
</workbook>
</file>

<file path=xl/sharedStrings.xml><?xml version="1.0" encoding="utf-8"?>
<sst xmlns="http://schemas.openxmlformats.org/spreadsheetml/2006/main" count="1008" uniqueCount="572">
  <si>
    <t>Active</t>
  </si>
  <si>
    <t>Index</t>
  </si>
  <si>
    <t>Name</t>
  </si>
  <si>
    <t>Members Ref</t>
  </si>
  <si>
    <t>Art</t>
  </si>
  <si>
    <t>ASMR</t>
  </si>
  <si>
    <t>Educational</t>
  </si>
  <si>
    <t>Gaming</t>
  </si>
  <si>
    <t>IRL</t>
  </si>
  <si>
    <t>Media/React</t>
  </si>
  <si>
    <t>Music</t>
  </si>
  <si>
    <t>N/A</t>
  </si>
  <si>
    <t>Sexuality</t>
  </si>
  <si>
    <t>STEM</t>
  </si>
  <si>
    <t>Tarot</t>
  </si>
  <si>
    <t>Yapping</t>
  </si>
  <si>
    <t>Group</t>
  </si>
  <si>
    <t>is subgroup</t>
  </si>
  <si>
    <t>subgroup parent</t>
  </si>
  <si>
    <t>Subgroup Ref</t>
  </si>
  <si>
    <t>YouTube</t>
  </si>
  <si>
    <t>Twitch</t>
  </si>
  <si>
    <t>Wiki</t>
  </si>
  <si>
    <t>BEASTIEZ</t>
  </si>
  <si>
    <t>Beastiez</t>
  </si>
  <si>
    <t>128, 129, 130, 131</t>
  </si>
  <si>
    <t>sample_url_youtube</t>
  </si>
  <si>
    <t>sample_url_twitch</t>
  </si>
  <si>
    <t>sample_url_wiki</t>
  </si>
  <si>
    <t>DENTSU</t>
  </si>
  <si>
    <t>dentsu.exe</t>
  </si>
  <si>
    <t>HOLOLIVE</t>
  </si>
  <si>
    <t>Hololive</t>
  </si>
  <si>
    <t>Hololive EN</t>
  </si>
  <si>
    <t>Hololive IND</t>
  </si>
  <si>
    <t>Hololive JP</t>
  </si>
  <si>
    <t>Advent</t>
  </si>
  <si>
    <t>Myth</t>
  </si>
  <si>
    <t>Promise</t>
  </si>
  <si>
    <t>Justice</t>
  </si>
  <si>
    <t>Holostars</t>
  </si>
  <si>
    <t>LAB_BRATS</t>
  </si>
  <si>
    <t>Lab Brats</t>
  </si>
  <si>
    <t>NEUROVERSE</t>
  </si>
  <si>
    <t>Neuroverse</t>
  </si>
  <si>
    <t>NOVA</t>
  </si>
  <si>
    <t>Nova</t>
  </si>
  <si>
    <t>SOCKS</t>
  </si>
  <si>
    <t>Socks Vtubing Agency</t>
  </si>
  <si>
    <t>TERI_YAKI</t>
  </si>
  <si>
    <t>TERI-yaki</t>
  </si>
  <si>
    <t>FIRST_STAGE</t>
  </si>
  <si>
    <t>First Stage</t>
  </si>
  <si>
    <t>VICHIBAN</t>
  </si>
  <si>
    <t>VchiBan</t>
  </si>
  <si>
    <t>CRASHOUT_CREW</t>
  </si>
  <si>
    <t>Crashout Crew</t>
  </si>
  <si>
    <t>EN_GIRLYPOPS</t>
  </si>
  <si>
    <t>EN Girlypops</t>
  </si>
  <si>
    <t>VSHOJO</t>
  </si>
  <si>
    <t>ex-Vshjo</t>
  </si>
  <si>
    <t>FLESHTUBERS</t>
  </si>
  <si>
    <t>Fleshtubers</t>
  </si>
  <si>
    <t>INDO_GIRLYPOPS</t>
  </si>
  <si>
    <t>ID Girlypops</t>
  </si>
  <si>
    <t>INDIES</t>
  </si>
  <si>
    <t>Indies</t>
  </si>
  <si>
    <t>VEIN_GANG</t>
  </si>
  <si>
    <t>Vein Gang</t>
  </si>
  <si>
    <t>displayGroup</t>
  </si>
  <si>
    <t>groupsFormal</t>
  </si>
  <si>
    <t>groupsInformal</t>
  </si>
  <si>
    <t>Interests</t>
  </si>
  <si>
    <t>Collabs</t>
  </si>
  <si>
    <t>Collabs Ref</t>
  </si>
  <si>
    <t>AmaLee</t>
  </si>
  <si>
    <t>https://youtube.com/leeandlie</t>
  </si>
  <si>
    <t>https://www.twitch.tv/amalee</t>
  </si>
  <si>
    <t>https://virtualyoutuber.fandom.com/wiki/AmaLee</t>
  </si>
  <si>
    <t>Indies, ex-Vshjo, Crashout Crew</t>
  </si>
  <si>
    <t>Gaming, Music</t>
  </si>
  <si>
    <t>Apricot (froot)</t>
  </si>
  <si>
    <t>https://www.youtube.com/c/ApricottheLichVS</t>
  </si>
  <si>
    <t>https://www.twitch.tv/apricot</t>
  </si>
  <si>
    <t>https://virtualyoutuber.fandom.com/wiki/Apricot</t>
  </si>
  <si>
    <t>Indies, ex-Vshjo</t>
  </si>
  <si>
    <t>Geega</t>
  </si>
  <si>
    <t>https://www.youtube.com/@GEEGA/</t>
  </si>
  <si>
    <t>https://www.twitch.tv/geega</t>
  </si>
  <si>
    <t>https://virtualyoutuber.fandom.com/wiki/GEEGA</t>
  </si>
  <si>
    <t>Yapping, Gaming, Music</t>
  </si>
  <si>
    <t>Haruka Karibu</t>
  </si>
  <si>
    <t>https://www.youtube.com/c/HarukaKaribu</t>
  </si>
  <si>
    <t>https://www.twitch.tv/harukakaribu</t>
  </si>
  <si>
    <t>https://virtualyoutuber.fandom.com/wiki/Haruka_Karibu</t>
  </si>
  <si>
    <t>Henya the Genius</t>
  </si>
  <si>
    <t>https://www.youtube.com/channel/UCVhRMzNWYcg8XDTgB9NFRTw</t>
  </si>
  <si>
    <t>https://www.twitch.tv/henyathegenius</t>
  </si>
  <si>
    <t>https://virtualyoutuber.fandom.com/wiki/Henya_the_Genius</t>
  </si>
  <si>
    <t>Yapping, Gaming, Music, Media/React</t>
  </si>
  <si>
    <t>Hime Hajime</t>
  </si>
  <si>
    <t>https://www.youtube.com/@himehajime1570</t>
  </si>
  <si>
    <t>https://www.twitch.tv/hajime</t>
  </si>
  <si>
    <t>https://virtualyoutuber.fandom.com/wiki/Hime_Hajime</t>
  </si>
  <si>
    <t>Ironmouse</t>
  </si>
  <si>
    <t>https://www.youtube.com/@IronMouseParty</t>
  </si>
  <si>
    <t>https://www.twitch.tv/ironmouse</t>
  </si>
  <si>
    <t>https://en.wikipedia.org/wiki/Ironmouse</t>
  </si>
  <si>
    <t>Indies, ex-Vshjo, Vein Gang</t>
  </si>
  <si>
    <t>K9 Kuro</t>
  </si>
  <si>
    <t>https://www.youtube.com/channel/UCN5J_HKNGFCPtqAnSjBekcA</t>
  </si>
  <si>
    <t>https://www.twitch.tv/k9kuro</t>
  </si>
  <si>
    <t>https://virtualyoutuber.fandom.com/wiki/Kuro_Kurenai</t>
  </si>
  <si>
    <t>Kson</t>
  </si>
  <si>
    <t>https://www.youtube.com/channel/UC9ruVYPv7yJmV0Rh0NKA-Lw</t>
  </si>
  <si>
    <t>https://www.twitch.tv/ksonsouchou</t>
  </si>
  <si>
    <t>https://virtualyoutuber.fandom.com/wiki/Kson</t>
  </si>
  <si>
    <t>Matara Kan</t>
  </si>
  <si>
    <t>https://www.youtube.com/channel/UCxx2uRmAwkhb3QJMfLssgsw</t>
  </si>
  <si>
    <t>https://www.twitch.tv/matarakan</t>
  </si>
  <si>
    <t>https://virtualyoutuber.fandom.com/wiki/Matara_Kan</t>
  </si>
  <si>
    <t>Michi Mochievee</t>
  </si>
  <si>
    <t>https://www.youtube.com/channel/UCnS5IYNyGKOti9cFlK5SefQ</t>
  </si>
  <si>
    <t>https://www.twitch.tv/michimochievee</t>
  </si>
  <si>
    <t>https://virtualyoutuber.fandom.com/wiki/Michi_Mochievee</t>
  </si>
  <si>
    <t>Indies, ex-Vshjo, ID Girlypops</t>
  </si>
  <si>
    <t>Yapping, Gaming, Music, Tarot</t>
  </si>
  <si>
    <t>K9 Kuro, Akuma Nihmune, FroggyLoch, Heavenly Father, Papamutt, SixteenInMono, tonkienator, Saiiren, U-san, Nagzz, PiaPiUFO, Tori Oriane, Arielle_VT</t>
  </si>
  <si>
    <t>Nyatasha Nyanners</t>
  </si>
  <si>
    <t>https://youtube.com/nyanners</t>
  </si>
  <si>
    <t>https://www.twitch.tv/nyanners</t>
  </si>
  <si>
    <t>https://virtualyoutuber.fandom.com/wiki/Nyatasha_Nyanners</t>
  </si>
  <si>
    <t>Projket Melody</t>
  </si>
  <si>
    <t>https://www.youtube.com/c/ProjektMelodyOfficial</t>
  </si>
  <si>
    <t>https://www.twitch.tv/projektmelody</t>
  </si>
  <si>
    <t>https://virtualyoutuber.fandom.com/wiki/Projekt_Melody</t>
  </si>
  <si>
    <t>Yapping, Gaming, Sexuality, Educational, Media/React</t>
  </si>
  <si>
    <t>Silvervale</t>
  </si>
  <si>
    <t>https://www.youtube.com/channel/UCm8Dj7dQ0oRHXNUXF31kjEw</t>
  </si>
  <si>
    <t>https://www.twitch.tv/silvervale</t>
  </si>
  <si>
    <t>https://virtualyoutuber.fandom.com/wiki/Silvervale</t>
  </si>
  <si>
    <t>Veibae</t>
  </si>
  <si>
    <t>https://www.youtube.com/channel/UCsBFeCb82qOXyUP19nmD9xw</t>
  </si>
  <si>
    <t>https://www.twitch.tv/vei</t>
  </si>
  <si>
    <t>"https://virtualyoutuber.fandom.com/wiki/Veibae</t>
  </si>
  <si>
    <t>Zentraya</t>
  </si>
  <si>
    <t>http://youtube.com/c/Zentreya</t>
  </si>
  <si>
    <t>https://www.twitch.tv/zentreya</t>
  </si>
  <si>
    <t>https://virtualyoutuber.fandom.com/wiki/Zentreya</t>
  </si>
  <si>
    <t>Akuma Nihmune</t>
  </si>
  <si>
    <t>https://www.youtube.com/c/AkumaNihmuneCh</t>
  </si>
  <si>
    <t>https://www.twitch.tv/nihmune</t>
  </si>
  <si>
    <t>https://virtualyoutuber.fandom.com/wiki/Akuma_Nihmune</t>
  </si>
  <si>
    <t>Indies, EN Girlypops</t>
  </si>
  <si>
    <t>Bao the Whale</t>
  </si>
  <si>
    <t>https://www.youtube.com/@baovtuber</t>
  </si>
  <si>
    <t>https://www.twitch.tv/bao</t>
  </si>
  <si>
    <t>https://virtualyoutuber.fandom.com/wiki/Bao</t>
  </si>
  <si>
    <t>Yuzu</t>
  </si>
  <si>
    <t>https://www.youtube.com/channel/UCKvij44VV9TWt-EM3evoRWg</t>
  </si>
  <si>
    <t>https://www.twitch.tv/yuzu</t>
  </si>
  <si>
    <t>https://virtualyoutuber.fandom.com/wiki/Sanagi_Yuzu</t>
  </si>
  <si>
    <t>Camila</t>
  </si>
  <si>
    <t>https://www.youtube.com/channel/UCdjLJvro7Q3V0M2V2pwWfZA</t>
  </si>
  <si>
    <t>https://www.twitch.tv/camila</t>
  </si>
  <si>
    <t>https://virtualyoutuber.fandom.com/wiki/Camila</t>
  </si>
  <si>
    <t>Lucy Pyre</t>
  </si>
  <si>
    <t>https://www.youtube.com/channel/UC5VWF53rrEiuYvO5e5Ecn9Q</t>
  </si>
  <si>
    <t>https://www.twitch.tv/lucypyre</t>
  </si>
  <si>
    <t>https://virtualyoutuber.fandom.com/wiki/Lucy_Pyre</t>
  </si>
  <si>
    <t>Trickywi</t>
  </si>
  <si>
    <t>https://www.youtube.com/@Trickywi</t>
  </si>
  <si>
    <t>https://www.twitch.tv/trickywi</t>
  </si>
  <si>
    <t>https://virtualyoutuber.fandom.com/wiki/Trickywi</t>
  </si>
  <si>
    <t>Arielle_VT</t>
  </si>
  <si>
    <t>https://www.youtube.com/@Arielle-VT</t>
  </si>
  <si>
    <t>https://www.twitch.tv/arielle</t>
  </si>
  <si>
    <t>https://virtualyoutuber.fandom.com/wiki/Arielle</t>
  </si>
  <si>
    <t>Yapping, Gaming</t>
  </si>
  <si>
    <t>Bajiru</t>
  </si>
  <si>
    <t>https://www.youtube.com/c/bajiru_EN</t>
  </si>
  <si>
    <t>https://www.twitch.tv/bajiru_en</t>
  </si>
  <si>
    <t>https://virtualyoutuber.fandom.com/wiki/Bajiru</t>
  </si>
  <si>
    <t>Music, ASMR</t>
  </si>
  <si>
    <t>Bluto</t>
  </si>
  <si>
    <t>https://www.twitch.tv/bluto</t>
  </si>
  <si>
    <t>https://virtualyoutuber.fandom.com/wiki/Bluto</t>
  </si>
  <si>
    <t>cerberVT</t>
  </si>
  <si>
    <t>https://www.youtube.com/channel/UCBX-cil2Y9-_TOyFxsAdt1w</t>
  </si>
  <si>
    <t>https://www.twitch.tv/cerbervt</t>
  </si>
  <si>
    <t>https://virtualyoutuber.fandom.com/wiki/CerberVT</t>
  </si>
  <si>
    <t>Cha Cha Your Vmom</t>
  </si>
  <si>
    <t>https://youtube.com/@chachayourvmom</t>
  </si>
  <si>
    <t>https://www.twitch.tv/chachayourvmom</t>
  </si>
  <si>
    <t>https://virtualyoutuber.fandom.com/wiki/Cha_Cha,_Your_Vmom</t>
  </si>
  <si>
    <t>Gaming, Media/React</t>
  </si>
  <si>
    <t>chibidoki</t>
  </si>
  <si>
    <t>https://www.youtube.com/channel/UCoqNvjhUxJRYW4JsT5fBK6w</t>
  </si>
  <si>
    <t>https://www.twitch.tv/chibidoki</t>
  </si>
  <si>
    <t>https://virtualyoutuber.fandom.com/wiki/Chibidoki</t>
  </si>
  <si>
    <t>Cottontail_VA</t>
  </si>
  <si>
    <t>https://www.youtube.com/cottontailva</t>
  </si>
  <si>
    <t>https://www.twitch.tv/cottontailva</t>
  </si>
  <si>
    <t>https://virtualyoutuber.fandom.com/wiki/CottontailVA</t>
  </si>
  <si>
    <t>Gaming, Music, Sexuality, ASMR</t>
  </si>
  <si>
    <t>Crelly</t>
  </si>
  <si>
    <t>https://www.youtube.com/channel/UCwxaNWg74VccV65gr_L6JZg</t>
  </si>
  <si>
    <t>https://www.twitch.tv/crelly</t>
  </si>
  <si>
    <t>https://virtualyoutuber.fandom.com/wiki/Crelly</t>
  </si>
  <si>
    <t>Yapping, Gaming, Media/React</t>
  </si>
  <si>
    <t>CROC</t>
  </si>
  <si>
    <t>https://www.youtube.com/@CROCvt</t>
  </si>
  <si>
    <t>https://www.twitch.tv/croc</t>
  </si>
  <si>
    <t>CyYu</t>
  </si>
  <si>
    <t>https://www.youtube.com/c/@CyYuvods</t>
  </si>
  <si>
    <t>https://www.twitch.tv/cyyuvtuber</t>
  </si>
  <si>
    <t>https://virtualyoutuber.fandom.com/wiki/CyYu</t>
  </si>
  <si>
    <t>Indies, Crashout Crew</t>
  </si>
  <si>
    <t>Dokibird</t>
  </si>
  <si>
    <t>https://www.youtube.com/@Dokibird</t>
  </si>
  <si>
    <t>https://www.twitch.tv/dokibird</t>
  </si>
  <si>
    <t>https://virtualyoutuber.fandom.com/wiki/Dokibird</t>
  </si>
  <si>
    <t>dooby3D</t>
  </si>
  <si>
    <t>https://www.youtube.com/@dooby3d</t>
  </si>
  <si>
    <t>https://www.twitch.tv/dooby3d</t>
  </si>
  <si>
    <t>https://virtualyoutuber.fandom.com/wiki/Dooby3D</t>
  </si>
  <si>
    <t>el XoX</t>
  </si>
  <si>
    <t>https://www.youtube.com/@elXoX34</t>
  </si>
  <si>
    <t>https://www.twitch.tv/el_xox</t>
  </si>
  <si>
    <t>https://virtualyoutuber.fandom.com/wiki/El_XoX</t>
  </si>
  <si>
    <t>Yapping, Sexuality</t>
  </si>
  <si>
    <t>ENVI</t>
  </si>
  <si>
    <t>https://www.twitch.tv/envi</t>
  </si>
  <si>
    <t>FeFe</t>
  </si>
  <si>
    <t>https://www.youtube.com/c/fefevtuber</t>
  </si>
  <si>
    <t>https://www.twitch.tv/fefe</t>
  </si>
  <si>
    <t>https://virtualyoutuber.fandom.com/wiki/FeFe</t>
  </si>
  <si>
    <t>Yapping, Gaming, Sexuality</t>
  </si>
  <si>
    <t>FREAM</t>
  </si>
  <si>
    <t>https://www.twitch.tv/fream</t>
  </si>
  <si>
    <t>https://virtualyoutuber.fandom.com/wiki/Fream</t>
  </si>
  <si>
    <t>FroggyLoch</t>
  </si>
  <si>
    <t>https://www.youtube.com/channel/UCyHiAEZfJmXO_cBRtgzcWZA/featured</t>
  </si>
  <si>
    <t>https://www.twitch.tv/froggyloch</t>
  </si>
  <si>
    <t>https://virtualyoutuber.fandom.com/wiki/FroggyLoch</t>
  </si>
  <si>
    <t>Yapping, Gaming, Music, Art</t>
  </si>
  <si>
    <t>Fufu</t>
  </si>
  <si>
    <t>https://www.youtube.com/channel/UCNMHJ9WnMXabPn-iyQKAdcA</t>
  </si>
  <si>
    <t>https://www.twitch.tv/fufu</t>
  </si>
  <si>
    <t>https://virtualyoutuber.fandom.com/wiki/Fufu</t>
  </si>
  <si>
    <t>girl_dm_</t>
  </si>
  <si>
    <t>https://www.youtube.com/channel/UC_WC6plpIdL_buebR9vSVkg</t>
  </si>
  <si>
    <t>https://www.twitch.tv/girl_dm_</t>
  </si>
  <si>
    <t>https://virtualyoutuber.fandom.com/wiki/Girl_dm</t>
  </si>
  <si>
    <t>Heavenly Father</t>
  </si>
  <si>
    <t>https://www.youtube.com/channel/UCrx5cwSB4bl3fI34Boxvq2A</t>
  </si>
  <si>
    <t>https://www.twitch.tv/heavenlyfather</t>
  </si>
  <si>
    <t>https://virtualyoutuber.fandom.com/wiki/Heavenly_Father</t>
  </si>
  <si>
    <t>InannaBell</t>
  </si>
  <si>
    <t>https://www.youtube.com/@inannabell</t>
  </si>
  <si>
    <t>https://www.twitch.tv/inannabell</t>
  </si>
  <si>
    <t>Isaa Corva</t>
  </si>
  <si>
    <t>https://www.youtube.com/@isaacorva</t>
  </si>
  <si>
    <t>https://www.twitch.tv/isaa</t>
  </si>
  <si>
    <t>https://virtualyoutuber.fandom.com/wiki/Isaa_Corva</t>
  </si>
  <si>
    <t>KloeKroc</t>
  </si>
  <si>
    <t>https://www.youtube.com/@KloeKroc</t>
  </si>
  <si>
    <t>https://www.twitch.tv/kloekroc</t>
  </si>
  <si>
    <t>KokoNuts</t>
  </si>
  <si>
    <t>https://www.youtube.com/channel/UCk9qayCnFw51PIUZKVxH1UQ</t>
  </si>
  <si>
    <t>https://www.twitch.tv/kokonuts</t>
  </si>
  <si>
    <t>https://virtualyoutuber.fandom.com/wiki/Koko_D._Nuts</t>
  </si>
  <si>
    <t>Yapping, Media/React</t>
  </si>
  <si>
    <t>LaynaLazar</t>
  </si>
  <si>
    <t>https://www.youtube.com/@LaynaLaza</t>
  </si>
  <si>
    <t>https://www.twitch.tv/laynalazar</t>
  </si>
  <si>
    <t>https://virtualyoutuber.fandom.com/wiki/Layna_Lazar</t>
  </si>
  <si>
    <t>Limealicious</t>
  </si>
  <si>
    <t>https://www.youtube.com/c/Limealicious</t>
  </si>
  <si>
    <t>https://www.twitch.tv/limealicious</t>
  </si>
  <si>
    <t>https://virtualyoutuber.fandom.com/wiki/Laimu</t>
  </si>
  <si>
    <t>Lord Aethelstan</t>
  </si>
  <si>
    <t>https://www.youtube.com/channel/UCLI_XmsVZzOrOB1LaoV0BEQ</t>
  </si>
  <si>
    <t>https://www.twitch.tv/lordaethelstan</t>
  </si>
  <si>
    <t>https://virtualyoutuber.fandom.com/wiki/Lord_Aethelstan</t>
  </si>
  <si>
    <t>Indies, Vein Gang</t>
  </si>
  <si>
    <t>Lucia Crabs</t>
  </si>
  <si>
    <t>https://www.youtube.com/@luciavt</t>
  </si>
  <si>
    <t>https://www.twitch.tv/lucia</t>
  </si>
  <si>
    <t>https://virtualyoutuber.fandom.com/wiki/Lucia_Crabs</t>
  </si>
  <si>
    <t>Megladon</t>
  </si>
  <si>
    <t>https://www.youtube.com/channel/UCb5BJg1PJvzQ6kYk7eguzCQ</t>
  </si>
  <si>
    <t>https://www.twitch.tv/megalodonvt</t>
  </si>
  <si>
    <t>https://virtualyoutuber.fandom.com/wiki/Megalodon</t>
  </si>
  <si>
    <t>Meicha</t>
  </si>
  <si>
    <t>https://www.youtube.com/channel/UCNbVN2AjnvY73GVS3NdJx4Q/</t>
  </si>
  <si>
    <t>https://www.twitch.tv/meicha</t>
  </si>
  <si>
    <t>https://virtualyoutuber.fandom.com/wiki/Meicha</t>
  </si>
  <si>
    <t>missshadowlovely</t>
  </si>
  <si>
    <t>https://www.youtube.com/MissShadowLovely</t>
  </si>
  <si>
    <t>https://www.twitch.tv/missshadowlovely</t>
  </si>
  <si>
    <t>https://virtualyoutuber.fandom.com/wiki/MissShadowLovely</t>
  </si>
  <si>
    <t>Momo</t>
  </si>
  <si>
    <t>http://www.youtube.com/themastermo</t>
  </si>
  <si>
    <t>https://www.twitch.tv/momo</t>
  </si>
  <si>
    <t>https://virtualyoutuber.fandom.com/wiki/Momo</t>
  </si>
  <si>
    <t>moniibagel</t>
  </si>
  <si>
    <t>https://www.youtube.com/channel/UCfTjT67uIy1hcAJFO7_AqOQ</t>
  </si>
  <si>
    <t>https://www.twitch.tv/moniibagel/about</t>
  </si>
  <si>
    <t>https://virtualyoutuber.fandom.com/wiki/Monii</t>
  </si>
  <si>
    <t>Yapping, Music</t>
  </si>
  <si>
    <t>Nimi Nightmare</t>
  </si>
  <si>
    <t>https://www.youtube.com/@niminightmare</t>
  </si>
  <si>
    <t>https://virtualyoutuber.fandom.com/wiki/Nimi_Nightmare</t>
  </si>
  <si>
    <t>Obkatiekat</t>
  </si>
  <si>
    <t>https://www.youtube.com/obkatiekat</t>
  </si>
  <si>
    <t>https://www.twitch.tv/obkatiekat</t>
  </si>
  <si>
    <t>https://virtualyoutuber.fandom.com/wiki/Obkatiekat</t>
  </si>
  <si>
    <t>OniGiri</t>
  </si>
  <si>
    <t>https://www.youtube.com/c/OniGirien</t>
  </si>
  <si>
    <t>https://www.twitch.tv/onigiri</t>
  </si>
  <si>
    <t>https://virtualyoutuber.fandom.com/wiki/OniGiri</t>
  </si>
  <si>
    <t>Yapping, IRL</t>
  </si>
  <si>
    <t>Papamutt</t>
  </si>
  <si>
    <t>https://www.youtube.com/channel/UCbAadhjblnwYfQ0xypSH_sg</t>
  </si>
  <si>
    <t>https://www.twitch.tv/papamutt</t>
  </si>
  <si>
    <t>https://virtualyoutuber.fandom.com/wiki/Papamutt</t>
  </si>
  <si>
    <t>Porcelain Maid</t>
  </si>
  <si>
    <t>https://www.youtube.com/channel/UCngBjKSLC8IhPNagQCnf2LQ</t>
  </si>
  <si>
    <t>https://www.twitch.tv/porcelainmaid</t>
  </si>
  <si>
    <t>https://virtualyoutuber.fandom.com/wiki/PorcelainMaid</t>
  </si>
  <si>
    <t>Psydere</t>
  </si>
  <si>
    <t>https://www.youtube.com/@psydere</t>
  </si>
  <si>
    <t>https://www.twitch.tv/psydere</t>
  </si>
  <si>
    <t>Yapping, STEM, Media/React</t>
  </si>
  <si>
    <t>Pumpkin Potion</t>
  </si>
  <si>
    <t>https://www.youtube.com/pumpkinpotion</t>
  </si>
  <si>
    <t>https://www.twitch.tv/pumpkinpotion</t>
  </si>
  <si>
    <t>https://virtualyoutuber.fandom.com/wiki/Pumpkin_Potion</t>
  </si>
  <si>
    <t>Saiiren</t>
  </si>
  <si>
    <t>https://www.youtube.com/@saiiren</t>
  </si>
  <si>
    <t>https://www.twitch.tv/saiiren</t>
  </si>
  <si>
    <t>https://virtualyoutuber.fandom.com/wiki/Saiiren</t>
  </si>
  <si>
    <t>Yapping, Gaming, Music, IRL</t>
  </si>
  <si>
    <t>Sameko Saba</t>
  </si>
  <si>
    <t>https://www.youtube.com/@SamekoSaba</t>
  </si>
  <si>
    <t>https://virtualyoutuber.fandom.com/wiki/Sameko_Saba</t>
  </si>
  <si>
    <t>Shylilly</t>
  </si>
  <si>
    <t>https://www.youtube.com/@Shylily</t>
  </si>
  <si>
    <t>"https://www.twitch.tv/shylily</t>
  </si>
  <si>
    <t>https://virtualyoutuber.fandom.com/wiki/Shylily</t>
  </si>
  <si>
    <t>SixteenInMono</t>
  </si>
  <si>
    <t>https://www.youtube.com/@SixteenInMono</t>
  </si>
  <si>
    <t>https://www.twitch.tv/sixteeninmono</t>
  </si>
  <si>
    <t>Music, Gaming</t>
  </si>
  <si>
    <t>Spite</t>
  </si>
  <si>
    <t>https://www.youtube.com/c/SpitemeVtuber</t>
  </si>
  <si>
    <t>https://www.twitch.tv/spite</t>
  </si>
  <si>
    <t>https://virtualyoutuber.fandom.com/wiki/Spite</t>
  </si>
  <si>
    <t>Starlight Daryl</t>
  </si>
  <si>
    <t>https://www.youtube.com/@StarlightDaryl</t>
  </si>
  <si>
    <t>https://www.twitch.tv/starlightdaryl</t>
  </si>
  <si>
    <t>https://virtualyoutuber.fandom.com/wiki/StarlightDaryl</t>
  </si>
  <si>
    <t>SunnySplosion</t>
  </si>
  <si>
    <t>https://www.youtube.com/@OopsAllSunny</t>
  </si>
  <si>
    <t>https://www.twitch.tv/sunnysplosion</t>
  </si>
  <si>
    <t>https://virtualyoutuber.fandom.com/wiki/SunnySplosion</t>
  </si>
  <si>
    <t>tonkienator</t>
  </si>
  <si>
    <t>https://www.youtube.com/@tonkienator</t>
  </si>
  <si>
    <t>https://www.twitch.tv/tonkienator</t>
  </si>
  <si>
    <t>Yapping, Tarot</t>
  </si>
  <si>
    <t>U-san</t>
  </si>
  <si>
    <t>https://www.youtube.com/@unnamednow00</t>
  </si>
  <si>
    <t>https://www.twitch.tv/unnamednow00</t>
  </si>
  <si>
    <t>https://virtualyoutuber.fandom.com/wiki/Unn%C3%A4med</t>
  </si>
  <si>
    <t>Vexoria the Suneater</t>
  </si>
  <si>
    <t>https://www.youtube.com/channel/UC9r8dNEoXdIpYTnoMVFwzhg</t>
  </si>
  <si>
    <t>https://www.twitch.tv/vexoria_the_suneater</t>
  </si>
  <si>
    <t>https://virtualyoutuber.fandom.com/wiki/Vexoria_the_Sun_Eater</t>
  </si>
  <si>
    <t>x3Dustco</t>
  </si>
  <si>
    <t>https://www.twitch.tv/x3dustco</t>
  </si>
  <si>
    <t>Gaming, Art</t>
  </si>
  <si>
    <t>test</t>
  </si>
  <si>
    <t>CDawgVA</t>
  </si>
  <si>
    <t>https://www.youtube.com/channel/UCPsZ_0SkFdi551iYTG04R2g</t>
  </si>
  <si>
    <t>https://www.twitch.tv/cdawg</t>
  </si>
  <si>
    <t>https://en.wikipedia.org/wiki/CDawgVA</t>
  </si>
  <si>
    <t>Fleshtubers, Vein Gang</t>
  </si>
  <si>
    <t>Yapping, Gaming, IRL</t>
  </si>
  <si>
    <t>Chris Broad</t>
  </si>
  <si>
    <t>https://www.youtube.com/@AbroadinJapan</t>
  </si>
  <si>
    <t>https://en.wikipedia.org/wiki/Chris_Broad_(YouTuber)</t>
  </si>
  <si>
    <t>Doger</t>
  </si>
  <si>
    <t>https://www.youtube.com/@DexbonusVOD</t>
  </si>
  <si>
    <t>https://www.twitch.tv/dexbonus</t>
  </si>
  <si>
    <t>Emily Hopkins</t>
  </si>
  <si>
    <t>JessieCox</t>
  </si>
  <si>
    <t>https://youtube.com/JesseCox</t>
  </si>
  <si>
    <t>https://www.twitch.tv/jessecox</t>
  </si>
  <si>
    <t>lesagesinging</t>
  </si>
  <si>
    <t>https://www.youtube.com/channel/UCReU-IqthhUbR7N7EsTu6MQ</t>
  </si>
  <si>
    <t>https://www.twitch.tv/lesagesinging</t>
  </si>
  <si>
    <t>Yapping, Music, Educational, Gaming, Media/React</t>
  </si>
  <si>
    <t>Marcomeatball</t>
  </si>
  <si>
    <t>https://www.youtube.com/c/MarcoMeatball</t>
  </si>
  <si>
    <t>https://www.twitch.tv/marcomeatball</t>
  </si>
  <si>
    <t>Nagzz</t>
  </si>
  <si>
    <t>https://www.youtube.com/nagzz</t>
  </si>
  <si>
    <t>https://www.twitch.tv/nagzz</t>
  </si>
  <si>
    <t>Ray Narvaez</t>
  </si>
  <si>
    <t>http://youtube.com/@rayyylmao</t>
  </si>
  <si>
    <t>https://www.twitch.tv/ray</t>
  </si>
  <si>
    <t>Rubin Sargasm</t>
  </si>
  <si>
    <t>Chrchie</t>
  </si>
  <si>
    <t>https://www.youtube.com/@chrchieVT</t>
  </si>
  <si>
    <t>https://www.twitch.tv/chrchie</t>
  </si>
  <si>
    <t>https://virtualyoutuber.fandom.com/wiki/Chrchie</t>
  </si>
  <si>
    <t>MinikoMew</t>
  </si>
  <si>
    <t>https://www.youtube.com/channel/UC9evPLoYqsHASjrahHekqMA</t>
  </si>
  <si>
    <t>https://www.twitch.tv/minikomew</t>
  </si>
  <si>
    <t>https://virtualyoutuber.fandom.com/wiki/MinikoMew</t>
  </si>
  <si>
    <t>Shoomimi</t>
  </si>
  <si>
    <t>https://www.youtube.com/@Shoomimi</t>
  </si>
  <si>
    <t>https://www.twitch.tv/shoomimi</t>
  </si>
  <si>
    <t>https://virtualyoutuber.fandom.com/wiki/Shoomimi</t>
  </si>
  <si>
    <t>Ellie Minibot</t>
  </si>
  <si>
    <t>https://www.youtube.com/channel/UCeZe82WbZ7VL9meqWli6qxg</t>
  </si>
  <si>
    <t>https://www.twitch.tv/ellie_minibot</t>
  </si>
  <si>
    <t>https://virtualyoutuber.fandom.com/wiki/Ellie_Minibot</t>
  </si>
  <si>
    <t>Yapping, Gaming, Music, ASMR</t>
  </si>
  <si>
    <t>Mori Calliope</t>
  </si>
  <si>
    <t>https://www.youtube.com/@MoriCalliope/featured</t>
  </si>
  <si>
    <t>https://www.twitch.tv/moricalliope/about</t>
  </si>
  <si>
    <t>https://virtualyoutuber.fandom.com/wiki/Mori_Calliope</t>
  </si>
  <si>
    <t>Takanashi Kiara</t>
  </si>
  <si>
    <t>https://t.co/mZsEcWct3I</t>
  </si>
  <si>
    <t>https://www.twitch.tv/kiara</t>
  </si>
  <si>
    <t>https://virtualyoutuber.fandom.com/wiki/Takanashi_Kiara</t>
  </si>
  <si>
    <t>Ninomae Ina’nis</t>
  </si>
  <si>
    <t>https://www.youtube.com/@NinomaeInanis</t>
  </si>
  <si>
    <t>https://virtualyoutuber.fandom.com/wiki/Ninomae_Ina'nis</t>
  </si>
  <si>
    <t>Nerissa Ravencroft</t>
  </si>
  <si>
    <t>https://www.youtube.com/@NerissaRavencroft</t>
  </si>
  <si>
    <t>https://www.twitch.tv/nerissaravencroft</t>
  </si>
  <si>
    <t>https://virtualyoutuber.fandom.com/wiki/Nerissa_Ravencroft</t>
  </si>
  <si>
    <t>Koseki Bijou</t>
  </si>
  <si>
    <t>https://www.youtube.com/@KosekiBijou</t>
  </si>
  <si>
    <t>https://virtualyoutuber.fandom.com/wiki/Koseki_Bijou</t>
  </si>
  <si>
    <t>Shiori Novella</t>
  </si>
  <si>
    <t>https://www.youtube.com/@ShioriNovella</t>
  </si>
  <si>
    <t>https://virtualyoutuber.fandom.com/wiki/Shiori_Novella</t>
  </si>
  <si>
    <t>Fuwawa Abyssgard</t>
  </si>
  <si>
    <t>https://www.youtube.com/@FUWAMOCOch</t>
  </si>
  <si>
    <t>https://virtualyoutuber.fandom.com/wiki/Fuwawa_Abyssgard</t>
  </si>
  <si>
    <t>Mococo Abyssgard</t>
  </si>
  <si>
    <t>https://virtualyoutuber.fandom.com/wiki/Mococo_Abyssgard</t>
  </si>
  <si>
    <t>Elizabeth Rose Bloodflame</t>
  </si>
  <si>
    <t>https://www.youtube.com/@holoen_erbloodflame</t>
  </si>
  <si>
    <t>https://www.twitch.tv/elizabethrosebloodflame</t>
  </si>
  <si>
    <t>https://virtualyoutuber.fandom.com/wiki/Elizabeth_Rose_Bloodflame</t>
  </si>
  <si>
    <t>Gigi Murin</t>
  </si>
  <si>
    <t>https://www.youtube.com/@holoen_gigimurin</t>
  </si>
  <si>
    <t>https://virtualyoutuber.fandom.com/wiki/Gigi_Murin</t>
  </si>
  <si>
    <t>Cecilia Immergreen</t>
  </si>
  <si>
    <t>https://www.youtube.com/@holoen_ceciliaimmergreen</t>
  </si>
  <si>
    <t>https://virtualyoutuber.fandom.com/wiki/Cecilia_Immergreen</t>
  </si>
  <si>
    <t>Raora Panthera</t>
  </si>
  <si>
    <t>https://www.youtube.com/@holoen_raorapanthera</t>
  </si>
  <si>
    <t>https://virtualyoutuber.fandom.com/wiki/Raora_Panthera</t>
  </si>
  <si>
    <t>Kureiji Ollie</t>
  </si>
  <si>
    <t>https://www.youtube.com/@KureijiOllie</t>
  </si>
  <si>
    <t>https://www.twitch.tv/kureijiollie</t>
  </si>
  <si>
    <t>https://virtualyoutuber.fandom.com/wiki/Kureiji_Ollie</t>
  </si>
  <si>
    <t>Moona Hoshinova</t>
  </si>
  <si>
    <t>https://www.youtube.com/@MoonaHoshinova</t>
  </si>
  <si>
    <t>https://www.twitch.tv/moonahoshinova</t>
  </si>
  <si>
    <t>https://virtualyoutuber.fandom.com/wiki/Moona_Hoshinova</t>
  </si>
  <si>
    <t>Ayunda Risu</t>
  </si>
  <si>
    <t>https://www.youtube.com/@ayundarisu</t>
  </si>
  <si>
    <t>https://virtualyoutuber.fandom.com/wiki/Ayunda_Risu</t>
  </si>
  <si>
    <t>Kaela Kovalskia</t>
  </si>
  <si>
    <t>https://www.youtube.com/@KaelaKovalskia</t>
  </si>
  <si>
    <t>https://virtualyoutuber.fandom.com/wiki/Kaela_Kovalskia</t>
  </si>
  <si>
    <t>Kobo Kanaeru</t>
  </si>
  <si>
    <t>https://www.youtube.com/@KoboKanaeru</t>
  </si>
  <si>
    <t>https://virtualyoutuber.fandom.com/wiki/Kobo_Kanaeru</t>
  </si>
  <si>
    <t>Vestia Zeta</t>
  </si>
  <si>
    <t>https://www.youtube.com/@VestiaZeta</t>
  </si>
  <si>
    <t>https://www.twitch.tv/vestiazeta</t>
  </si>
  <si>
    <t>https://virtualyoutuber.fandom.com/wiki/Vestia_Zeta</t>
  </si>
  <si>
    <t>IRyS</t>
  </si>
  <si>
    <t>https://www.youtube.com/channel/UC8rcEBzJSleTkf_-agPM20g</t>
  </si>
  <si>
    <t>https://virtualyoutuber.fandom.com/wiki/IRyS</t>
  </si>
  <si>
    <t>Banzoin Hakka</t>
  </si>
  <si>
    <t>https://www.youtube.com/@BanzoinHakka</t>
  </si>
  <si>
    <t>https://www.twitch.tv/banzoinhakka</t>
  </si>
  <si>
    <t>https://virtualyoutuber.fandom.com/wiki/Banzoin_Hakka</t>
  </si>
  <si>
    <t>Liron Lockheart</t>
  </si>
  <si>
    <t>https://www.youtube.com/@LironLockheart_FSP</t>
  </si>
  <si>
    <t>https://virtualyoutuber.fandom.com/wiki/Liron_Lockheart</t>
  </si>
  <si>
    <t>Rae Laveire</t>
  </si>
  <si>
    <t>https://youtube.com/c/Raelaveire</t>
  </si>
  <si>
    <t>https://www.twitch.tv/raelaveire</t>
  </si>
  <si>
    <t>https://virtualyoutuber.fandom.com/wiki/Rae_Laveire</t>
  </si>
  <si>
    <t>Vedal</t>
  </si>
  <si>
    <t>https://www.youtube.com/channel/UCLHmLrj4pHHg3-iBJn_CqxA</t>
  </si>
  <si>
    <t>https://www.twitch.tv/vedal987</t>
  </si>
  <si>
    <t>STEM, Gaming</t>
  </si>
  <si>
    <t>Neurosama</t>
  </si>
  <si>
    <t>https://virtualyoutuber.fandom.com/wiki/Neuro-sama</t>
  </si>
  <si>
    <t>Yapping, Music, Media/React, Gaming</t>
  </si>
  <si>
    <t>Evil Neuro</t>
  </si>
  <si>
    <t>https://virtualyoutuber.fandom.com/wiki/Evil_Neuro</t>
  </si>
  <si>
    <t>Buffpup</t>
  </si>
  <si>
    <t>https://www.youtube.com/channel/UCM6Ld_dNSaUQ2uwjJ4Gq9FA</t>
  </si>
  <si>
    <t>https://www.twitch.tv/buffpup</t>
  </si>
  <si>
    <t>https://virtualyoutuber.fandom.com/wiki/Buffpup</t>
  </si>
  <si>
    <t>Ai Candii</t>
  </si>
  <si>
    <t>http://youtube.com/c/aicandii</t>
  </si>
  <si>
    <t>https://www.twitch.tv/aicandii</t>
  </si>
  <si>
    <t>https://virtualyoutuber.fandom.com/wiki/Ai_Candii</t>
  </si>
  <si>
    <t>Yapping, Gaming, STEM</t>
  </si>
  <si>
    <t>Rosedoodle</t>
  </si>
  <si>
    <t>https://www.youtube.com/channel/UCihXhXRz8tj91hBptuSsQ0g</t>
  </si>
  <si>
    <t>https://www.twitch.tv/rosedoodle</t>
  </si>
  <si>
    <t>https://virtualyoutuber.fandom.com/wiki/Rosedoodle</t>
  </si>
  <si>
    <t>Yapping, Art, Gaming</t>
  </si>
  <si>
    <t>ShiaBun</t>
  </si>
  <si>
    <t>https://www.youtube.com/c/ShiaBun</t>
  </si>
  <si>
    <t>https://www.twitch.tv/shiabun</t>
  </si>
  <si>
    <t>https://virtualyoutuber.fandom.com/wiki/ShiaBun</t>
  </si>
  <si>
    <t>Mint Fantôme</t>
  </si>
  <si>
    <t>https://www.youtube.com/@mintfantome</t>
  </si>
  <si>
    <t>https://virtualyoutuber.fandom.com/wiki/Mint_Fant%C3%B4me</t>
  </si>
  <si>
    <t>Victoria Roma</t>
  </si>
  <si>
    <t>https://www.youtube.com/@vickyroman_idol</t>
  </si>
  <si>
    <t>https://virtualyoutuber.fandom.com/wiki/Victoria_Roman</t>
  </si>
  <si>
    <t>Phoebe Chan</t>
  </si>
  <si>
    <t>https://www.youtube.com/@feebeechanchibi</t>
  </si>
  <si>
    <t>https://virtualyoutuber.fandom.com/wiki/Phoebe_Chan</t>
  </si>
  <si>
    <t>Akatsuki Hotaru</t>
  </si>
  <si>
    <t>https://www.youtube.com/@AkatsukiDHotaru</t>
  </si>
  <si>
    <t>https://www.twitch.tv/akatsukidhotaru</t>
  </si>
  <si>
    <t>https://virtualyoutuber.fandom.com/wiki/Akatsuki_Hotaru</t>
  </si>
  <si>
    <t>Hestia Happiness</t>
  </si>
  <si>
    <t>https://www.youtube.com/channel/UCyaxhmE-zyUIjMfCGQ75vlA</t>
  </si>
  <si>
    <t>https://www.twitch.tv/hestiahappiness</t>
  </si>
  <si>
    <t>https://virtualyoutuber.fandom.com/wiki/Hestia_Happiness</t>
  </si>
  <si>
    <t>Yutori Peke</t>
  </si>
  <si>
    <t>https://www.youtube.com/@PekeIsPeak</t>
  </si>
  <si>
    <t>https://www.twitch.tv/pekeispeak</t>
  </si>
  <si>
    <t>https://virtualyoutuber.fandom.com/wiki/Yutori_Peke</t>
  </si>
  <si>
    <t>Okamoto Nagi</t>
  </si>
  <si>
    <t>https://www.youtube.com/@NagIsekaied</t>
  </si>
  <si>
    <t>https://www.twitch.tv/nagisekaied</t>
  </si>
  <si>
    <t>https://virtualyoutuber.fandom.com/wiki/Okamoto_Nagi</t>
  </si>
  <si>
    <t>Tori Oriane</t>
  </si>
  <si>
    <t>https://www.youtube.com/@ToriOriane/featured</t>
  </si>
  <si>
    <t>https://www.twitch.tv/torioriane</t>
  </si>
  <si>
    <t>https://virtualyoutuber.fandom.com/wiki/Tori_Oriane</t>
  </si>
  <si>
    <t>PiaPiUFO</t>
  </si>
  <si>
    <t>https://www.youtube.com/c/PiaPIUFO</t>
  </si>
  <si>
    <t>https://www.twitch.tv/piapiufo</t>
  </si>
  <si>
    <t>https://virtualyoutuber.fandom.com/wiki/PiaPiUFO</t>
  </si>
  <si>
    <t>Beribug</t>
  </si>
  <si>
    <t>https://www.youtube.com/channel/UC8PMqEDpXcsooyDGiLvxs4w</t>
  </si>
  <si>
    <t>https://www.twitch.tv/beribug</t>
  </si>
  <si>
    <t>https://virtualyoutuber.fandom.com/wiki/Beribug</t>
  </si>
  <si>
    <t>Kairyu Crocodile</t>
  </si>
  <si>
    <t>https://www.youtube.com/@KairyuCrocodile</t>
  </si>
  <si>
    <t>https://www.twitch.tv/kairyucrocodile</t>
  </si>
  <si>
    <t>https://virtualyoutuber.fandom.com/wiki/Kairyu_Crocodile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</si>
</sst>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tere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psForm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psInform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l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Interests" name="Interests" id="1">
  <tableColumns count="4">
    <tableColumn name="Active" id="1"/>
    <tableColumn name="Index" id="2"/>
    <tableColumn name="Name" id="3"/>
    <tableColumn name="Members Ref" id="4"/>
  </tableColumns>
  <tableStyleInfo name="interests-style" showColumnStripes="0" showFirstColumn="1" showLastColumn="1" showRowStripes="1"/>
</table>
</file>

<file path=xl/tables/table2.xml><?xml version="1.0" encoding="utf-8"?>
<table xmlns="http://schemas.openxmlformats.org/spreadsheetml/2006/main" ref="A1:K19" displayName="Formal_Groups" name="Formal_Groups" id="2">
  <tableColumns count="11">
    <tableColumn name="Active" id="1"/>
    <tableColumn name="Index" id="2"/>
    <tableColumn name="Group" id="3"/>
    <tableColumn name="Name" id="4"/>
    <tableColumn name="Members Ref" id="5"/>
    <tableColumn name="is subgroup" id="6"/>
    <tableColumn name="subgroup parent" id="7"/>
    <tableColumn name="Subgroup Ref" id="8"/>
    <tableColumn name="YouTube" id="9"/>
    <tableColumn name="Twitch" id="10"/>
    <tableColumn name="Wiki" id="11"/>
  </tableColumns>
  <tableStyleInfo name="groupsFormal-style" showColumnStripes="0" showFirstColumn="1" showLastColumn="1" showRowStripes="1"/>
</table>
</file>

<file path=xl/tables/table3.xml><?xml version="1.0" encoding="utf-8"?>
<table xmlns="http://schemas.openxmlformats.org/spreadsheetml/2006/main" ref="A1:H8" displayName="Informal_Groups" name="Informal_Groups" id="3">
  <tableColumns count="8">
    <tableColumn name="Active" id="1"/>
    <tableColumn name="Index" id="2"/>
    <tableColumn name="Group" id="3"/>
    <tableColumn name="Name" id="4"/>
    <tableColumn name="Members Ref" id="5"/>
    <tableColumn name="YouTube" id="6"/>
    <tableColumn name="Twitch" id="7"/>
    <tableColumn name="Wiki" id="8"/>
  </tableColumns>
  <tableStyleInfo name="groupsInformal-style" showColumnStripes="0" showFirstColumn="1" showLastColumn="1" showRowStripes="1"/>
</table>
</file>

<file path=xl/tables/table4.xml><?xml version="1.0" encoding="utf-8"?>
<table xmlns="http://schemas.openxmlformats.org/spreadsheetml/2006/main" ref="A1:L131" displayName="Talent" name="Talent" id="4">
  <tableColumns count="12">
    <tableColumn name="Active" id="1"/>
    <tableColumn name="Index" id="2"/>
    <tableColumn name="Name" id="3"/>
    <tableColumn name="YouTube" id="4"/>
    <tableColumn name="Twitch" id="5"/>
    <tableColumn name="Wiki" id="6"/>
    <tableColumn name="displayGroup" id="7"/>
    <tableColumn name="groupsFormal" id="8"/>
    <tableColumn name="groupsInformal" id="9"/>
    <tableColumn name="Interests" id="10"/>
    <tableColumn name="Collabs" id="11"/>
    <tableColumn name="Collabs Ref" id="12"/>
  </tableColumns>
  <tableStyleInfo name="tal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channel/UCm8Dj7dQ0oRHXNUXF31kjEw" TargetMode="External"/><Relationship Id="rId190" Type="http://schemas.openxmlformats.org/officeDocument/2006/relationships/hyperlink" Target="https://www.twitch.tv/starlightdaryl" TargetMode="External"/><Relationship Id="rId42" Type="http://schemas.openxmlformats.org/officeDocument/2006/relationships/hyperlink" Target="https://virtualyoutuber.fandom.com/wiki/Silvervale" TargetMode="External"/><Relationship Id="rId41" Type="http://schemas.openxmlformats.org/officeDocument/2006/relationships/hyperlink" Target="https://www.twitch.tv/silvervale" TargetMode="External"/><Relationship Id="rId44" Type="http://schemas.openxmlformats.org/officeDocument/2006/relationships/hyperlink" Target="https://www.twitch.tv/vei" TargetMode="External"/><Relationship Id="rId194" Type="http://schemas.openxmlformats.org/officeDocument/2006/relationships/hyperlink" Target="https://virtualyoutuber.fandom.com/wiki/SunnySplosion" TargetMode="External"/><Relationship Id="rId43" Type="http://schemas.openxmlformats.org/officeDocument/2006/relationships/hyperlink" Target="https://www.youtube.com/channel/UCsBFeCb82qOXyUP19nmD9xw" TargetMode="External"/><Relationship Id="rId193" Type="http://schemas.openxmlformats.org/officeDocument/2006/relationships/hyperlink" Target="https://www.twitch.tv/sunnysplosion" TargetMode="External"/><Relationship Id="rId46" Type="http://schemas.openxmlformats.org/officeDocument/2006/relationships/hyperlink" Target="https://www.twitch.tv/zentreya" TargetMode="External"/><Relationship Id="rId192" Type="http://schemas.openxmlformats.org/officeDocument/2006/relationships/hyperlink" Target="https://www.youtube.com/@OopsAllSunny" TargetMode="External"/><Relationship Id="rId45" Type="http://schemas.openxmlformats.org/officeDocument/2006/relationships/hyperlink" Target="http://youtube.com/c/Zentreya" TargetMode="External"/><Relationship Id="rId191" Type="http://schemas.openxmlformats.org/officeDocument/2006/relationships/hyperlink" Target="https://virtualyoutuber.fandom.com/wiki/StarlightDaryl" TargetMode="External"/><Relationship Id="rId48" Type="http://schemas.openxmlformats.org/officeDocument/2006/relationships/hyperlink" Target="https://www.youtube.com/c/AkumaNihmuneCh" TargetMode="External"/><Relationship Id="rId187" Type="http://schemas.openxmlformats.org/officeDocument/2006/relationships/hyperlink" Target="https://www.twitch.tv/spite" TargetMode="External"/><Relationship Id="rId47" Type="http://schemas.openxmlformats.org/officeDocument/2006/relationships/hyperlink" Target="https://virtualyoutuber.fandom.com/wiki/Zentreya" TargetMode="External"/><Relationship Id="rId186" Type="http://schemas.openxmlformats.org/officeDocument/2006/relationships/hyperlink" Target="https://www.youtube.com/c/SpitemeVtuber" TargetMode="External"/><Relationship Id="rId185" Type="http://schemas.openxmlformats.org/officeDocument/2006/relationships/hyperlink" Target="https://www.twitch.tv/sixteeninmono" TargetMode="External"/><Relationship Id="rId49" Type="http://schemas.openxmlformats.org/officeDocument/2006/relationships/hyperlink" Target="https://www.twitch.tv/nihmune" TargetMode="External"/><Relationship Id="rId184" Type="http://schemas.openxmlformats.org/officeDocument/2006/relationships/hyperlink" Target="https://www.youtube.com/@SixteenInMono" TargetMode="External"/><Relationship Id="rId189" Type="http://schemas.openxmlformats.org/officeDocument/2006/relationships/hyperlink" Target="https://www.youtube.com/@StarlightDaryl" TargetMode="External"/><Relationship Id="rId188" Type="http://schemas.openxmlformats.org/officeDocument/2006/relationships/hyperlink" Target="https://virtualyoutuber.fandom.com/wiki/Spite" TargetMode="External"/><Relationship Id="rId31" Type="http://schemas.openxmlformats.org/officeDocument/2006/relationships/hyperlink" Target="https://www.youtube.com/channel/UCnS5IYNyGKOti9cFlK5SefQ" TargetMode="External"/><Relationship Id="rId30" Type="http://schemas.openxmlformats.org/officeDocument/2006/relationships/hyperlink" Target="https://virtualyoutuber.fandom.com/wiki/Matara_Kan" TargetMode="External"/><Relationship Id="rId33" Type="http://schemas.openxmlformats.org/officeDocument/2006/relationships/hyperlink" Target="https://virtualyoutuber.fandom.com/wiki/Michi_Mochievee" TargetMode="External"/><Relationship Id="rId183" Type="http://schemas.openxmlformats.org/officeDocument/2006/relationships/hyperlink" Target="https://virtualyoutuber.fandom.com/wiki/Shylily" TargetMode="External"/><Relationship Id="rId32" Type="http://schemas.openxmlformats.org/officeDocument/2006/relationships/hyperlink" Target="https://www.twitch.tv/michimochievee" TargetMode="External"/><Relationship Id="rId182" Type="http://schemas.openxmlformats.org/officeDocument/2006/relationships/hyperlink" Target="https://www.youtube.com/@Shylily" TargetMode="External"/><Relationship Id="rId35" Type="http://schemas.openxmlformats.org/officeDocument/2006/relationships/hyperlink" Target="https://www.twitch.tv/nyanners" TargetMode="External"/><Relationship Id="rId181" Type="http://schemas.openxmlformats.org/officeDocument/2006/relationships/hyperlink" Target="https://virtualyoutuber.fandom.com/wiki/Sameko_Saba" TargetMode="External"/><Relationship Id="rId34" Type="http://schemas.openxmlformats.org/officeDocument/2006/relationships/hyperlink" Target="https://youtube.com/nyanners" TargetMode="External"/><Relationship Id="rId180" Type="http://schemas.openxmlformats.org/officeDocument/2006/relationships/hyperlink" Target="https://www.youtube.com/@SamekoSaba" TargetMode="External"/><Relationship Id="rId37" Type="http://schemas.openxmlformats.org/officeDocument/2006/relationships/hyperlink" Target="https://www.youtube.com/c/ProjektMelodyOfficial" TargetMode="External"/><Relationship Id="rId176" Type="http://schemas.openxmlformats.org/officeDocument/2006/relationships/hyperlink" Target="https://virtualyoutuber.fandom.com/wiki/Pumpkin_Potion" TargetMode="External"/><Relationship Id="rId297" Type="http://schemas.openxmlformats.org/officeDocument/2006/relationships/hyperlink" Target="http://youtube.com/c/aicandii" TargetMode="External"/><Relationship Id="rId36" Type="http://schemas.openxmlformats.org/officeDocument/2006/relationships/hyperlink" Target="https://virtualyoutuber.fandom.com/wiki/Nyatasha_Nyanners" TargetMode="External"/><Relationship Id="rId175" Type="http://schemas.openxmlformats.org/officeDocument/2006/relationships/hyperlink" Target="https://www.twitch.tv/pumpkinpotion" TargetMode="External"/><Relationship Id="rId296" Type="http://schemas.openxmlformats.org/officeDocument/2006/relationships/hyperlink" Target="https://virtualyoutuber.fandom.com/wiki/Buffpup" TargetMode="External"/><Relationship Id="rId39" Type="http://schemas.openxmlformats.org/officeDocument/2006/relationships/hyperlink" Target="https://virtualyoutuber.fandom.com/wiki/Projekt_Melody" TargetMode="External"/><Relationship Id="rId174" Type="http://schemas.openxmlformats.org/officeDocument/2006/relationships/hyperlink" Target="https://www.youtube.com/pumpkinpotion" TargetMode="External"/><Relationship Id="rId295" Type="http://schemas.openxmlformats.org/officeDocument/2006/relationships/hyperlink" Target="https://www.twitch.tv/buffpup" TargetMode="External"/><Relationship Id="rId38" Type="http://schemas.openxmlformats.org/officeDocument/2006/relationships/hyperlink" Target="https://www.twitch.tv/projektmelody" TargetMode="External"/><Relationship Id="rId173" Type="http://schemas.openxmlformats.org/officeDocument/2006/relationships/hyperlink" Target="https://www.twitch.tv/psydere" TargetMode="External"/><Relationship Id="rId294" Type="http://schemas.openxmlformats.org/officeDocument/2006/relationships/hyperlink" Target="https://www.youtube.com/channel/UCM6Ld_dNSaUQ2uwjJ4Gq9FA" TargetMode="External"/><Relationship Id="rId179" Type="http://schemas.openxmlformats.org/officeDocument/2006/relationships/hyperlink" Target="https://virtualyoutuber.fandom.com/wiki/Saiiren" TargetMode="External"/><Relationship Id="rId178" Type="http://schemas.openxmlformats.org/officeDocument/2006/relationships/hyperlink" Target="https://www.twitch.tv/saiiren" TargetMode="External"/><Relationship Id="rId299" Type="http://schemas.openxmlformats.org/officeDocument/2006/relationships/hyperlink" Target="https://virtualyoutuber.fandom.com/wiki/Ai_Candii" TargetMode="External"/><Relationship Id="rId177" Type="http://schemas.openxmlformats.org/officeDocument/2006/relationships/hyperlink" Target="https://www.youtube.com/@saiiren" TargetMode="External"/><Relationship Id="rId298" Type="http://schemas.openxmlformats.org/officeDocument/2006/relationships/hyperlink" Target="https://www.twitch.tv/aicandii" TargetMode="External"/><Relationship Id="rId20" Type="http://schemas.openxmlformats.org/officeDocument/2006/relationships/hyperlink" Target="https://www.twitch.tv/ironmouse" TargetMode="External"/><Relationship Id="rId22" Type="http://schemas.openxmlformats.org/officeDocument/2006/relationships/hyperlink" Target="https://www.youtube.com/channel/UCN5J_HKNGFCPtqAnSjBekcA" TargetMode="External"/><Relationship Id="rId21" Type="http://schemas.openxmlformats.org/officeDocument/2006/relationships/hyperlink" Target="https://en.wikipedia.org/wiki/Ironmouse" TargetMode="External"/><Relationship Id="rId24" Type="http://schemas.openxmlformats.org/officeDocument/2006/relationships/hyperlink" Target="https://virtualyoutuber.fandom.com/wiki/Kuro_Kurenai" TargetMode="External"/><Relationship Id="rId23" Type="http://schemas.openxmlformats.org/officeDocument/2006/relationships/hyperlink" Target="https://www.twitch.tv/k9kuro" TargetMode="External"/><Relationship Id="rId26" Type="http://schemas.openxmlformats.org/officeDocument/2006/relationships/hyperlink" Target="https://www.twitch.tv/ksonsouchou" TargetMode="External"/><Relationship Id="rId25" Type="http://schemas.openxmlformats.org/officeDocument/2006/relationships/hyperlink" Target="https://www.youtube.com/channel/UC9ruVYPv7yJmV0Rh0NKA-Lw" TargetMode="External"/><Relationship Id="rId28" Type="http://schemas.openxmlformats.org/officeDocument/2006/relationships/hyperlink" Target="https://www.youtube.com/channel/UCxx2uRmAwkhb3QJMfLssgsw" TargetMode="External"/><Relationship Id="rId27" Type="http://schemas.openxmlformats.org/officeDocument/2006/relationships/hyperlink" Target="https://virtualyoutuber.fandom.com/wiki/Kson" TargetMode="External"/><Relationship Id="rId29" Type="http://schemas.openxmlformats.org/officeDocument/2006/relationships/hyperlink" Target="https://www.twitch.tv/matarakan" TargetMode="External"/><Relationship Id="rId11" Type="http://schemas.openxmlformats.org/officeDocument/2006/relationships/hyperlink" Target="https://www.twitch.tv/harukakaribu" TargetMode="External"/><Relationship Id="rId10" Type="http://schemas.openxmlformats.org/officeDocument/2006/relationships/hyperlink" Target="https://www.youtube.com/c/HarukaKaribu" TargetMode="External"/><Relationship Id="rId13" Type="http://schemas.openxmlformats.org/officeDocument/2006/relationships/hyperlink" Target="https://www.youtube.com/channel/UCVhRMzNWYcg8XDTgB9NFRTw" TargetMode="External"/><Relationship Id="rId12" Type="http://schemas.openxmlformats.org/officeDocument/2006/relationships/hyperlink" Target="https://virtualyoutuber.fandom.com/wiki/Haruka_Karibu" TargetMode="External"/><Relationship Id="rId15" Type="http://schemas.openxmlformats.org/officeDocument/2006/relationships/hyperlink" Target="https://virtualyoutuber.fandom.com/wiki/Henya_the_Genius" TargetMode="External"/><Relationship Id="rId198" Type="http://schemas.openxmlformats.org/officeDocument/2006/relationships/hyperlink" Target="https://www.twitch.tv/unnamednow00" TargetMode="External"/><Relationship Id="rId14" Type="http://schemas.openxmlformats.org/officeDocument/2006/relationships/hyperlink" Target="https://www.twitch.tv/henyathegenius" TargetMode="External"/><Relationship Id="rId197" Type="http://schemas.openxmlformats.org/officeDocument/2006/relationships/hyperlink" Target="https://www.youtube.com/@unnamednow00" TargetMode="External"/><Relationship Id="rId17" Type="http://schemas.openxmlformats.org/officeDocument/2006/relationships/hyperlink" Target="https://www.twitch.tv/hajime" TargetMode="External"/><Relationship Id="rId196" Type="http://schemas.openxmlformats.org/officeDocument/2006/relationships/hyperlink" Target="https://www.twitch.tv/tonkienator" TargetMode="External"/><Relationship Id="rId16" Type="http://schemas.openxmlformats.org/officeDocument/2006/relationships/hyperlink" Target="https://www.youtube.com/@himehajime1570" TargetMode="External"/><Relationship Id="rId195" Type="http://schemas.openxmlformats.org/officeDocument/2006/relationships/hyperlink" Target="https://www.youtube.com/@tonkienator" TargetMode="External"/><Relationship Id="rId19" Type="http://schemas.openxmlformats.org/officeDocument/2006/relationships/hyperlink" Target="https://www.youtube.com/@IronMouseParty" TargetMode="External"/><Relationship Id="rId18" Type="http://schemas.openxmlformats.org/officeDocument/2006/relationships/hyperlink" Target="https://virtualyoutuber.fandom.com/wiki/Hime_Hajime" TargetMode="External"/><Relationship Id="rId199" Type="http://schemas.openxmlformats.org/officeDocument/2006/relationships/hyperlink" Target="https://virtualyoutuber.fandom.com/wiki/Unn%C3%A4med" TargetMode="External"/><Relationship Id="rId84" Type="http://schemas.openxmlformats.org/officeDocument/2006/relationships/hyperlink" Target="https://www.twitch.tv/cottontailva" TargetMode="External"/><Relationship Id="rId83" Type="http://schemas.openxmlformats.org/officeDocument/2006/relationships/hyperlink" Target="https://www.youtube.com/cottontailva" TargetMode="External"/><Relationship Id="rId86" Type="http://schemas.openxmlformats.org/officeDocument/2006/relationships/hyperlink" Target="https://www.youtube.com/channel/UCwxaNWg74VccV65gr_L6JZg" TargetMode="External"/><Relationship Id="rId85" Type="http://schemas.openxmlformats.org/officeDocument/2006/relationships/hyperlink" Target="https://virtualyoutuber.fandom.com/wiki/CottontailVA" TargetMode="External"/><Relationship Id="rId88" Type="http://schemas.openxmlformats.org/officeDocument/2006/relationships/hyperlink" Target="https://virtualyoutuber.fandom.com/wiki/Crelly" TargetMode="External"/><Relationship Id="rId150" Type="http://schemas.openxmlformats.org/officeDocument/2006/relationships/hyperlink" Target="https://www.twitch.tv/missshadowlovely" TargetMode="External"/><Relationship Id="rId271" Type="http://schemas.openxmlformats.org/officeDocument/2006/relationships/hyperlink" Target="https://www.youtube.com/@KoboKanaeru" TargetMode="External"/><Relationship Id="rId87" Type="http://schemas.openxmlformats.org/officeDocument/2006/relationships/hyperlink" Target="https://www.twitch.tv/crelly" TargetMode="External"/><Relationship Id="rId270" Type="http://schemas.openxmlformats.org/officeDocument/2006/relationships/hyperlink" Target="https://virtualyoutuber.fandom.com/wiki/Kaela_Kovalskia" TargetMode="External"/><Relationship Id="rId89" Type="http://schemas.openxmlformats.org/officeDocument/2006/relationships/hyperlink" Target="https://www.youtube.com/@CROCvt" TargetMode="External"/><Relationship Id="rId80" Type="http://schemas.openxmlformats.org/officeDocument/2006/relationships/hyperlink" Target="https://www.youtube.com/channel/UCoqNvjhUxJRYW4JsT5fBK6w" TargetMode="External"/><Relationship Id="rId82" Type="http://schemas.openxmlformats.org/officeDocument/2006/relationships/hyperlink" Target="https://virtualyoutuber.fandom.com/wiki/Chibidoki" TargetMode="External"/><Relationship Id="rId81" Type="http://schemas.openxmlformats.org/officeDocument/2006/relationships/hyperlink" Target="https://www.twitch.tv/chibidoki" TargetMode="External"/><Relationship Id="rId1" Type="http://schemas.openxmlformats.org/officeDocument/2006/relationships/hyperlink" Target="https://youtube.com/leeandlie" TargetMode="External"/><Relationship Id="rId2" Type="http://schemas.openxmlformats.org/officeDocument/2006/relationships/hyperlink" Target="https://www.twitch.tv/amalee" TargetMode="External"/><Relationship Id="rId3" Type="http://schemas.openxmlformats.org/officeDocument/2006/relationships/hyperlink" Target="https://virtualyoutuber.fandom.com/wiki/AmaLee" TargetMode="External"/><Relationship Id="rId149" Type="http://schemas.openxmlformats.org/officeDocument/2006/relationships/hyperlink" Target="https://www.youtube.com/MissShadowLovely" TargetMode="External"/><Relationship Id="rId4" Type="http://schemas.openxmlformats.org/officeDocument/2006/relationships/hyperlink" Target="https://www.youtube.com/c/ApricottheLichVS" TargetMode="External"/><Relationship Id="rId148" Type="http://schemas.openxmlformats.org/officeDocument/2006/relationships/hyperlink" Target="https://virtualyoutuber.fandom.com/wiki/Meicha" TargetMode="External"/><Relationship Id="rId269" Type="http://schemas.openxmlformats.org/officeDocument/2006/relationships/hyperlink" Target="https://www.youtube.com/@KaelaKovalskia" TargetMode="External"/><Relationship Id="rId9" Type="http://schemas.openxmlformats.org/officeDocument/2006/relationships/hyperlink" Target="https://virtualyoutuber.fandom.com/wiki/GEEGA" TargetMode="External"/><Relationship Id="rId143" Type="http://schemas.openxmlformats.org/officeDocument/2006/relationships/hyperlink" Target="https://www.youtube.com/channel/UCb5BJg1PJvzQ6kYk7eguzCQ" TargetMode="External"/><Relationship Id="rId264" Type="http://schemas.openxmlformats.org/officeDocument/2006/relationships/hyperlink" Target="https://www.youtube.com/@MoonaHoshinova" TargetMode="External"/><Relationship Id="rId142" Type="http://schemas.openxmlformats.org/officeDocument/2006/relationships/hyperlink" Target="https://virtualyoutuber.fandom.com/wiki/Lucia_Crabs" TargetMode="External"/><Relationship Id="rId263" Type="http://schemas.openxmlformats.org/officeDocument/2006/relationships/hyperlink" Target="https://virtualyoutuber.fandom.com/wiki/Kureiji_Ollie" TargetMode="External"/><Relationship Id="rId141" Type="http://schemas.openxmlformats.org/officeDocument/2006/relationships/hyperlink" Target="https://www.twitch.tv/lucia" TargetMode="External"/><Relationship Id="rId262" Type="http://schemas.openxmlformats.org/officeDocument/2006/relationships/hyperlink" Target="https://www.twitch.tv/kureijiollie" TargetMode="External"/><Relationship Id="rId140" Type="http://schemas.openxmlformats.org/officeDocument/2006/relationships/hyperlink" Target="https://www.youtube.com/@luciavt" TargetMode="External"/><Relationship Id="rId261" Type="http://schemas.openxmlformats.org/officeDocument/2006/relationships/hyperlink" Target="https://www.youtube.com/@KureijiOllie" TargetMode="External"/><Relationship Id="rId5" Type="http://schemas.openxmlformats.org/officeDocument/2006/relationships/hyperlink" Target="https://www.twitch.tv/apricot" TargetMode="External"/><Relationship Id="rId147" Type="http://schemas.openxmlformats.org/officeDocument/2006/relationships/hyperlink" Target="https://www.twitch.tv/meicha" TargetMode="External"/><Relationship Id="rId268" Type="http://schemas.openxmlformats.org/officeDocument/2006/relationships/hyperlink" Target="https://virtualyoutuber.fandom.com/wiki/Ayunda_Risu" TargetMode="External"/><Relationship Id="rId6" Type="http://schemas.openxmlformats.org/officeDocument/2006/relationships/hyperlink" Target="https://virtualyoutuber.fandom.com/wiki/Apricot" TargetMode="External"/><Relationship Id="rId146" Type="http://schemas.openxmlformats.org/officeDocument/2006/relationships/hyperlink" Target="https://www.youtube.com/channel/UCNbVN2AjnvY73GVS3NdJx4Q/" TargetMode="External"/><Relationship Id="rId267" Type="http://schemas.openxmlformats.org/officeDocument/2006/relationships/hyperlink" Target="https://www.youtube.com/@ayundarisu" TargetMode="External"/><Relationship Id="rId7" Type="http://schemas.openxmlformats.org/officeDocument/2006/relationships/hyperlink" Target="https://www.youtube.com/@GEEGA/" TargetMode="External"/><Relationship Id="rId145" Type="http://schemas.openxmlformats.org/officeDocument/2006/relationships/hyperlink" Target="https://virtualyoutuber.fandom.com/wiki/Megalodon" TargetMode="External"/><Relationship Id="rId266" Type="http://schemas.openxmlformats.org/officeDocument/2006/relationships/hyperlink" Target="https://virtualyoutuber.fandom.com/wiki/Moona_Hoshinova" TargetMode="External"/><Relationship Id="rId8" Type="http://schemas.openxmlformats.org/officeDocument/2006/relationships/hyperlink" Target="https://www.twitch.tv/geega" TargetMode="External"/><Relationship Id="rId144" Type="http://schemas.openxmlformats.org/officeDocument/2006/relationships/hyperlink" Target="https://www.twitch.tv/megalodonvt" TargetMode="External"/><Relationship Id="rId265" Type="http://schemas.openxmlformats.org/officeDocument/2006/relationships/hyperlink" Target="https://www.twitch.tv/moonahoshinova" TargetMode="External"/><Relationship Id="rId73" Type="http://schemas.openxmlformats.org/officeDocument/2006/relationships/hyperlink" Target="https://virtualyoutuber.fandom.com/wiki/Bluto" TargetMode="External"/><Relationship Id="rId72" Type="http://schemas.openxmlformats.org/officeDocument/2006/relationships/hyperlink" Target="https://www.twitch.tv/bluto" TargetMode="External"/><Relationship Id="rId75" Type="http://schemas.openxmlformats.org/officeDocument/2006/relationships/hyperlink" Target="https://www.twitch.tv/cerbervt" TargetMode="External"/><Relationship Id="rId74" Type="http://schemas.openxmlformats.org/officeDocument/2006/relationships/hyperlink" Target="https://www.youtube.com/channel/UCBX-cil2Y9-_TOyFxsAdt1w" TargetMode="External"/><Relationship Id="rId77" Type="http://schemas.openxmlformats.org/officeDocument/2006/relationships/hyperlink" Target="https://youtube.com/@chachayourvmom" TargetMode="External"/><Relationship Id="rId260" Type="http://schemas.openxmlformats.org/officeDocument/2006/relationships/hyperlink" Target="https://virtualyoutuber.fandom.com/wiki/Raora_Panthera" TargetMode="External"/><Relationship Id="rId76" Type="http://schemas.openxmlformats.org/officeDocument/2006/relationships/hyperlink" Target="https://virtualyoutuber.fandom.com/wiki/CerberVT" TargetMode="External"/><Relationship Id="rId79" Type="http://schemas.openxmlformats.org/officeDocument/2006/relationships/hyperlink" Target="https://virtualyoutuber.fandom.com/wiki/Cha_Cha,_Your_Vmom" TargetMode="External"/><Relationship Id="rId78" Type="http://schemas.openxmlformats.org/officeDocument/2006/relationships/hyperlink" Target="https://www.twitch.tv/chachayourvmom" TargetMode="External"/><Relationship Id="rId71" Type="http://schemas.openxmlformats.org/officeDocument/2006/relationships/hyperlink" Target="https://virtualyoutuber.fandom.com/wiki/Bajiru" TargetMode="External"/><Relationship Id="rId70" Type="http://schemas.openxmlformats.org/officeDocument/2006/relationships/hyperlink" Target="https://www.twitch.tv/bajiru_en" TargetMode="External"/><Relationship Id="rId139" Type="http://schemas.openxmlformats.org/officeDocument/2006/relationships/hyperlink" Target="https://virtualyoutuber.fandom.com/wiki/Lord_Aethelstan" TargetMode="External"/><Relationship Id="rId138" Type="http://schemas.openxmlformats.org/officeDocument/2006/relationships/hyperlink" Target="https://www.twitch.tv/lordaethelstan" TargetMode="External"/><Relationship Id="rId259" Type="http://schemas.openxmlformats.org/officeDocument/2006/relationships/hyperlink" Target="https://www.youtube.com/@holoen_raorapanthera" TargetMode="External"/><Relationship Id="rId137" Type="http://schemas.openxmlformats.org/officeDocument/2006/relationships/hyperlink" Target="https://www.youtube.com/channel/UCLI_XmsVZzOrOB1LaoV0BEQ" TargetMode="External"/><Relationship Id="rId258" Type="http://schemas.openxmlformats.org/officeDocument/2006/relationships/hyperlink" Target="https://virtualyoutuber.fandom.com/wiki/Cecilia_Immergreen" TargetMode="External"/><Relationship Id="rId132" Type="http://schemas.openxmlformats.org/officeDocument/2006/relationships/hyperlink" Target="https://www.twitch.tv/laynalazar" TargetMode="External"/><Relationship Id="rId253" Type="http://schemas.openxmlformats.org/officeDocument/2006/relationships/hyperlink" Target="https://www.twitch.tv/elizabethrosebloodflame" TargetMode="External"/><Relationship Id="rId131" Type="http://schemas.openxmlformats.org/officeDocument/2006/relationships/hyperlink" Target="https://www.youtube.com/@LaynaLaza" TargetMode="External"/><Relationship Id="rId252" Type="http://schemas.openxmlformats.org/officeDocument/2006/relationships/hyperlink" Target="https://www.youtube.com/@holoen_erbloodflame" TargetMode="External"/><Relationship Id="rId130" Type="http://schemas.openxmlformats.org/officeDocument/2006/relationships/hyperlink" Target="https://virtualyoutuber.fandom.com/wiki/Koko_D._Nuts" TargetMode="External"/><Relationship Id="rId251" Type="http://schemas.openxmlformats.org/officeDocument/2006/relationships/hyperlink" Target="https://virtualyoutuber.fandom.com/wiki/Mococo_Abyssgard" TargetMode="External"/><Relationship Id="rId250" Type="http://schemas.openxmlformats.org/officeDocument/2006/relationships/hyperlink" Target="https://www.youtube.com/@FUWAMOCOch" TargetMode="External"/><Relationship Id="rId136" Type="http://schemas.openxmlformats.org/officeDocument/2006/relationships/hyperlink" Target="https://virtualyoutuber.fandom.com/wiki/Laimu" TargetMode="External"/><Relationship Id="rId257" Type="http://schemas.openxmlformats.org/officeDocument/2006/relationships/hyperlink" Target="https://www.youtube.com/@holoen_ceciliaimmergreen" TargetMode="External"/><Relationship Id="rId135" Type="http://schemas.openxmlformats.org/officeDocument/2006/relationships/hyperlink" Target="https://www.twitch.tv/limealicious" TargetMode="External"/><Relationship Id="rId256" Type="http://schemas.openxmlformats.org/officeDocument/2006/relationships/hyperlink" Target="https://virtualyoutuber.fandom.com/wiki/Gigi_Murin" TargetMode="External"/><Relationship Id="rId134" Type="http://schemas.openxmlformats.org/officeDocument/2006/relationships/hyperlink" Target="https://www.youtube.com/c/Limealicious" TargetMode="External"/><Relationship Id="rId255" Type="http://schemas.openxmlformats.org/officeDocument/2006/relationships/hyperlink" Target="https://www.youtube.com/@holoen_gigimurin" TargetMode="External"/><Relationship Id="rId133" Type="http://schemas.openxmlformats.org/officeDocument/2006/relationships/hyperlink" Target="https://virtualyoutuber.fandom.com/wiki/Layna_Lazar" TargetMode="External"/><Relationship Id="rId254" Type="http://schemas.openxmlformats.org/officeDocument/2006/relationships/hyperlink" Target="https://virtualyoutuber.fandom.com/wiki/Elizabeth_Rose_Bloodflame" TargetMode="External"/><Relationship Id="rId62" Type="http://schemas.openxmlformats.org/officeDocument/2006/relationships/hyperlink" Target="https://virtualyoutuber.fandom.com/wiki/Lucy_Pyre" TargetMode="External"/><Relationship Id="rId61" Type="http://schemas.openxmlformats.org/officeDocument/2006/relationships/hyperlink" Target="https://www.twitch.tv/lucypyre" TargetMode="External"/><Relationship Id="rId64" Type="http://schemas.openxmlformats.org/officeDocument/2006/relationships/hyperlink" Target="https://www.twitch.tv/trickywi" TargetMode="External"/><Relationship Id="rId63" Type="http://schemas.openxmlformats.org/officeDocument/2006/relationships/hyperlink" Target="https://www.youtube.com/@Trickywi" TargetMode="External"/><Relationship Id="rId66" Type="http://schemas.openxmlformats.org/officeDocument/2006/relationships/hyperlink" Target="https://www.youtube.com/@Arielle-VT" TargetMode="External"/><Relationship Id="rId172" Type="http://schemas.openxmlformats.org/officeDocument/2006/relationships/hyperlink" Target="https://www.youtube.com/@psydere" TargetMode="External"/><Relationship Id="rId293" Type="http://schemas.openxmlformats.org/officeDocument/2006/relationships/hyperlink" Target="https://virtualyoutuber.fandom.com/wiki/Evil_Neuro" TargetMode="External"/><Relationship Id="rId65" Type="http://schemas.openxmlformats.org/officeDocument/2006/relationships/hyperlink" Target="https://virtualyoutuber.fandom.com/wiki/Trickywi" TargetMode="External"/><Relationship Id="rId171" Type="http://schemas.openxmlformats.org/officeDocument/2006/relationships/hyperlink" Target="https://virtualyoutuber.fandom.com/wiki/PorcelainMaid" TargetMode="External"/><Relationship Id="rId292" Type="http://schemas.openxmlformats.org/officeDocument/2006/relationships/hyperlink" Target="https://www.twitch.tv/vedal987" TargetMode="External"/><Relationship Id="rId68" Type="http://schemas.openxmlformats.org/officeDocument/2006/relationships/hyperlink" Target="https://virtualyoutuber.fandom.com/wiki/Arielle" TargetMode="External"/><Relationship Id="rId170" Type="http://schemas.openxmlformats.org/officeDocument/2006/relationships/hyperlink" Target="https://www.twitch.tv/porcelainmaid" TargetMode="External"/><Relationship Id="rId291" Type="http://schemas.openxmlformats.org/officeDocument/2006/relationships/hyperlink" Target="https://www.youtube.com/channel/UCLHmLrj4pHHg3-iBJn_CqxA" TargetMode="External"/><Relationship Id="rId67" Type="http://schemas.openxmlformats.org/officeDocument/2006/relationships/hyperlink" Target="https://www.twitch.tv/arielle" TargetMode="External"/><Relationship Id="rId290" Type="http://schemas.openxmlformats.org/officeDocument/2006/relationships/hyperlink" Target="https://virtualyoutuber.fandom.com/wiki/Neuro-sama" TargetMode="External"/><Relationship Id="rId60" Type="http://schemas.openxmlformats.org/officeDocument/2006/relationships/hyperlink" Target="https://www.youtube.com/channel/UC5VWF53rrEiuYvO5e5Ecn9Q" TargetMode="External"/><Relationship Id="rId165" Type="http://schemas.openxmlformats.org/officeDocument/2006/relationships/hyperlink" Target="https://virtualyoutuber.fandom.com/wiki/OniGiri" TargetMode="External"/><Relationship Id="rId286" Type="http://schemas.openxmlformats.org/officeDocument/2006/relationships/hyperlink" Target="https://www.youtube.com/channel/UCLHmLrj4pHHg3-iBJn_CqxA" TargetMode="External"/><Relationship Id="rId69" Type="http://schemas.openxmlformats.org/officeDocument/2006/relationships/hyperlink" Target="https://www.youtube.com/c/bajiru_EN" TargetMode="External"/><Relationship Id="rId164" Type="http://schemas.openxmlformats.org/officeDocument/2006/relationships/hyperlink" Target="https://www.twitch.tv/onigiri" TargetMode="External"/><Relationship Id="rId285" Type="http://schemas.openxmlformats.org/officeDocument/2006/relationships/hyperlink" Target="https://virtualyoutuber.fandom.com/wiki/Rae_Laveire" TargetMode="External"/><Relationship Id="rId163" Type="http://schemas.openxmlformats.org/officeDocument/2006/relationships/hyperlink" Target="https://www.youtube.com/c/OniGirien" TargetMode="External"/><Relationship Id="rId284" Type="http://schemas.openxmlformats.org/officeDocument/2006/relationships/hyperlink" Target="https://www.twitch.tv/raelaveire" TargetMode="External"/><Relationship Id="rId162" Type="http://schemas.openxmlformats.org/officeDocument/2006/relationships/hyperlink" Target="https://virtualyoutuber.fandom.com/wiki/Obkatiekat" TargetMode="External"/><Relationship Id="rId283" Type="http://schemas.openxmlformats.org/officeDocument/2006/relationships/hyperlink" Target="https://youtube.com/c/Raelaveire" TargetMode="External"/><Relationship Id="rId169" Type="http://schemas.openxmlformats.org/officeDocument/2006/relationships/hyperlink" Target="https://www.youtube.com/channel/UCngBjKSLC8IhPNagQCnf2LQ" TargetMode="External"/><Relationship Id="rId168" Type="http://schemas.openxmlformats.org/officeDocument/2006/relationships/hyperlink" Target="https://virtualyoutuber.fandom.com/wiki/Papamutt" TargetMode="External"/><Relationship Id="rId289" Type="http://schemas.openxmlformats.org/officeDocument/2006/relationships/hyperlink" Target="https://www.twitch.tv/vedal987" TargetMode="External"/><Relationship Id="rId167" Type="http://schemas.openxmlformats.org/officeDocument/2006/relationships/hyperlink" Target="https://www.twitch.tv/papamutt" TargetMode="External"/><Relationship Id="rId288" Type="http://schemas.openxmlformats.org/officeDocument/2006/relationships/hyperlink" Target="https://www.youtube.com/channel/UCLHmLrj4pHHg3-iBJn_CqxA" TargetMode="External"/><Relationship Id="rId166" Type="http://schemas.openxmlformats.org/officeDocument/2006/relationships/hyperlink" Target="https://www.youtube.com/channel/UCbAadhjblnwYfQ0xypSH_sg" TargetMode="External"/><Relationship Id="rId287" Type="http://schemas.openxmlformats.org/officeDocument/2006/relationships/hyperlink" Target="https://www.twitch.tv/vedal987" TargetMode="External"/><Relationship Id="rId51" Type="http://schemas.openxmlformats.org/officeDocument/2006/relationships/hyperlink" Target="https://www.youtube.com/@baovtuber" TargetMode="External"/><Relationship Id="rId50" Type="http://schemas.openxmlformats.org/officeDocument/2006/relationships/hyperlink" Target="https://virtualyoutuber.fandom.com/wiki/Akuma_Nihmune" TargetMode="External"/><Relationship Id="rId53" Type="http://schemas.openxmlformats.org/officeDocument/2006/relationships/hyperlink" Target="https://virtualyoutuber.fandom.com/wiki/Bao" TargetMode="External"/><Relationship Id="rId52" Type="http://schemas.openxmlformats.org/officeDocument/2006/relationships/hyperlink" Target="https://www.twitch.tv/bao" TargetMode="External"/><Relationship Id="rId55" Type="http://schemas.openxmlformats.org/officeDocument/2006/relationships/hyperlink" Target="https://www.twitch.tv/yuzu" TargetMode="External"/><Relationship Id="rId161" Type="http://schemas.openxmlformats.org/officeDocument/2006/relationships/hyperlink" Target="https://www.twitch.tv/obkatiekat" TargetMode="External"/><Relationship Id="rId282" Type="http://schemas.openxmlformats.org/officeDocument/2006/relationships/hyperlink" Target="https://virtualyoutuber.fandom.com/wiki/Liron_Lockheart" TargetMode="External"/><Relationship Id="rId54" Type="http://schemas.openxmlformats.org/officeDocument/2006/relationships/hyperlink" Target="https://www.youtube.com/channel/UCKvij44VV9TWt-EM3evoRWg" TargetMode="External"/><Relationship Id="rId160" Type="http://schemas.openxmlformats.org/officeDocument/2006/relationships/hyperlink" Target="https://www.youtube.com/obkatiekat" TargetMode="External"/><Relationship Id="rId281" Type="http://schemas.openxmlformats.org/officeDocument/2006/relationships/hyperlink" Target="https://www.youtube.com/@LironLockheart_FSP" TargetMode="External"/><Relationship Id="rId57" Type="http://schemas.openxmlformats.org/officeDocument/2006/relationships/hyperlink" Target="https://www.youtube.com/channel/UCdjLJvro7Q3V0M2V2pwWfZA" TargetMode="External"/><Relationship Id="rId280" Type="http://schemas.openxmlformats.org/officeDocument/2006/relationships/hyperlink" Target="https://virtualyoutuber.fandom.com/wiki/Banzoin_Hakka" TargetMode="External"/><Relationship Id="rId56" Type="http://schemas.openxmlformats.org/officeDocument/2006/relationships/hyperlink" Target="https://virtualyoutuber.fandom.com/wiki/Sanagi_Yuzu" TargetMode="External"/><Relationship Id="rId159" Type="http://schemas.openxmlformats.org/officeDocument/2006/relationships/hyperlink" Target="https://virtualyoutuber.fandom.com/wiki/Nimi_Nightmare" TargetMode="External"/><Relationship Id="rId59" Type="http://schemas.openxmlformats.org/officeDocument/2006/relationships/hyperlink" Target="https://virtualyoutuber.fandom.com/wiki/Camila" TargetMode="External"/><Relationship Id="rId154" Type="http://schemas.openxmlformats.org/officeDocument/2006/relationships/hyperlink" Target="https://virtualyoutuber.fandom.com/wiki/Momo" TargetMode="External"/><Relationship Id="rId275" Type="http://schemas.openxmlformats.org/officeDocument/2006/relationships/hyperlink" Target="https://virtualyoutuber.fandom.com/wiki/Vestia_Zeta" TargetMode="External"/><Relationship Id="rId58" Type="http://schemas.openxmlformats.org/officeDocument/2006/relationships/hyperlink" Target="https://www.twitch.tv/camila" TargetMode="External"/><Relationship Id="rId153" Type="http://schemas.openxmlformats.org/officeDocument/2006/relationships/hyperlink" Target="https://www.twitch.tv/momo" TargetMode="External"/><Relationship Id="rId274" Type="http://schemas.openxmlformats.org/officeDocument/2006/relationships/hyperlink" Target="https://www.twitch.tv/vestiazeta" TargetMode="External"/><Relationship Id="rId152" Type="http://schemas.openxmlformats.org/officeDocument/2006/relationships/hyperlink" Target="http://www.youtube.com/themastermo" TargetMode="External"/><Relationship Id="rId273" Type="http://schemas.openxmlformats.org/officeDocument/2006/relationships/hyperlink" Target="https://www.youtube.com/@VestiaZeta" TargetMode="External"/><Relationship Id="rId151" Type="http://schemas.openxmlformats.org/officeDocument/2006/relationships/hyperlink" Target="https://virtualyoutuber.fandom.com/wiki/MissShadowLovely" TargetMode="External"/><Relationship Id="rId272" Type="http://schemas.openxmlformats.org/officeDocument/2006/relationships/hyperlink" Target="https://virtualyoutuber.fandom.com/wiki/Kobo_Kanaeru" TargetMode="External"/><Relationship Id="rId158" Type="http://schemas.openxmlformats.org/officeDocument/2006/relationships/hyperlink" Target="https://www.youtube.com/@niminightmare" TargetMode="External"/><Relationship Id="rId279" Type="http://schemas.openxmlformats.org/officeDocument/2006/relationships/hyperlink" Target="https://www.twitch.tv/banzoinhakka" TargetMode="External"/><Relationship Id="rId157" Type="http://schemas.openxmlformats.org/officeDocument/2006/relationships/hyperlink" Target="https://virtualyoutuber.fandom.com/wiki/Monii" TargetMode="External"/><Relationship Id="rId278" Type="http://schemas.openxmlformats.org/officeDocument/2006/relationships/hyperlink" Target="https://www.youtube.com/@BanzoinHakka" TargetMode="External"/><Relationship Id="rId156" Type="http://schemas.openxmlformats.org/officeDocument/2006/relationships/hyperlink" Target="https://www.twitch.tv/moniibagel/about" TargetMode="External"/><Relationship Id="rId277" Type="http://schemas.openxmlformats.org/officeDocument/2006/relationships/hyperlink" Target="https://virtualyoutuber.fandom.com/wiki/IRyS" TargetMode="External"/><Relationship Id="rId155" Type="http://schemas.openxmlformats.org/officeDocument/2006/relationships/hyperlink" Target="https://www.youtube.com/channel/UCfTjT67uIy1hcAJFO7_AqOQ" TargetMode="External"/><Relationship Id="rId276" Type="http://schemas.openxmlformats.org/officeDocument/2006/relationships/hyperlink" Target="https://www.youtube.com/channel/UC8rcEBzJSleTkf_-agPM20g" TargetMode="External"/><Relationship Id="rId107" Type="http://schemas.openxmlformats.org/officeDocument/2006/relationships/hyperlink" Target="https://www.twitch.tv/fream" TargetMode="External"/><Relationship Id="rId228" Type="http://schemas.openxmlformats.org/officeDocument/2006/relationships/hyperlink" Target="https://www.twitch.tv/shoomimi" TargetMode="External"/><Relationship Id="rId106" Type="http://schemas.openxmlformats.org/officeDocument/2006/relationships/hyperlink" Target="https://virtualyoutuber.fandom.com/wiki/FeFe" TargetMode="External"/><Relationship Id="rId227" Type="http://schemas.openxmlformats.org/officeDocument/2006/relationships/hyperlink" Target="https://www.youtube.com/@Shoomimi" TargetMode="External"/><Relationship Id="rId105" Type="http://schemas.openxmlformats.org/officeDocument/2006/relationships/hyperlink" Target="https://www.twitch.tv/fefe" TargetMode="External"/><Relationship Id="rId226" Type="http://schemas.openxmlformats.org/officeDocument/2006/relationships/hyperlink" Target="https://virtualyoutuber.fandom.com/wiki/MinikoMew" TargetMode="External"/><Relationship Id="rId104" Type="http://schemas.openxmlformats.org/officeDocument/2006/relationships/hyperlink" Target="https://www.youtube.com/c/fefevtuber" TargetMode="External"/><Relationship Id="rId225" Type="http://schemas.openxmlformats.org/officeDocument/2006/relationships/hyperlink" Target="https://www.twitch.tv/minikomew" TargetMode="External"/><Relationship Id="rId109" Type="http://schemas.openxmlformats.org/officeDocument/2006/relationships/hyperlink" Target="https://www.youtube.com/channel/UCyHiAEZfJmXO_cBRtgzcWZA/featured" TargetMode="External"/><Relationship Id="rId108" Type="http://schemas.openxmlformats.org/officeDocument/2006/relationships/hyperlink" Target="https://virtualyoutuber.fandom.com/wiki/Fream" TargetMode="External"/><Relationship Id="rId229" Type="http://schemas.openxmlformats.org/officeDocument/2006/relationships/hyperlink" Target="https://virtualyoutuber.fandom.com/wiki/Shoomimi" TargetMode="External"/><Relationship Id="rId220" Type="http://schemas.openxmlformats.org/officeDocument/2006/relationships/hyperlink" Target="https://www.twitch.tv/ray" TargetMode="External"/><Relationship Id="rId103" Type="http://schemas.openxmlformats.org/officeDocument/2006/relationships/hyperlink" Target="https://www.twitch.tv/envi" TargetMode="External"/><Relationship Id="rId224" Type="http://schemas.openxmlformats.org/officeDocument/2006/relationships/hyperlink" Target="https://www.youtube.com/channel/UC9evPLoYqsHASjrahHekqMA" TargetMode="External"/><Relationship Id="rId102" Type="http://schemas.openxmlformats.org/officeDocument/2006/relationships/hyperlink" Target="https://virtualyoutuber.fandom.com/wiki/El_XoX" TargetMode="External"/><Relationship Id="rId223" Type="http://schemas.openxmlformats.org/officeDocument/2006/relationships/hyperlink" Target="https://virtualyoutuber.fandom.com/wiki/Chrchie" TargetMode="External"/><Relationship Id="rId101" Type="http://schemas.openxmlformats.org/officeDocument/2006/relationships/hyperlink" Target="https://www.twitch.tv/el_xox" TargetMode="External"/><Relationship Id="rId222" Type="http://schemas.openxmlformats.org/officeDocument/2006/relationships/hyperlink" Target="https://www.twitch.tv/chrchie" TargetMode="External"/><Relationship Id="rId100" Type="http://schemas.openxmlformats.org/officeDocument/2006/relationships/hyperlink" Target="https://www.youtube.com/@elXoX34" TargetMode="External"/><Relationship Id="rId221" Type="http://schemas.openxmlformats.org/officeDocument/2006/relationships/hyperlink" Target="https://www.youtube.com/@chrchieVT" TargetMode="External"/><Relationship Id="rId217" Type="http://schemas.openxmlformats.org/officeDocument/2006/relationships/hyperlink" Target="https://www.youtube.com/nagzz" TargetMode="External"/><Relationship Id="rId338" Type="http://schemas.openxmlformats.org/officeDocument/2006/relationships/table" Target="../tables/table4.xml"/><Relationship Id="rId216" Type="http://schemas.openxmlformats.org/officeDocument/2006/relationships/hyperlink" Target="https://www.twitch.tv/marcomeatball" TargetMode="External"/><Relationship Id="rId215" Type="http://schemas.openxmlformats.org/officeDocument/2006/relationships/hyperlink" Target="https://www.youtube.com/c/MarcoMeatball" TargetMode="External"/><Relationship Id="rId336" Type="http://schemas.openxmlformats.org/officeDocument/2006/relationships/drawing" Target="../drawings/drawing4.xml"/><Relationship Id="rId214" Type="http://schemas.openxmlformats.org/officeDocument/2006/relationships/hyperlink" Target="https://www.twitch.tv/lesagesinging" TargetMode="External"/><Relationship Id="rId335" Type="http://schemas.openxmlformats.org/officeDocument/2006/relationships/hyperlink" Target="https://virtualyoutuber.fandom.com/wiki/Kairyu_Crocodile" TargetMode="External"/><Relationship Id="rId219" Type="http://schemas.openxmlformats.org/officeDocument/2006/relationships/hyperlink" Target="http://youtube.com/@rayyylmao" TargetMode="External"/><Relationship Id="rId218" Type="http://schemas.openxmlformats.org/officeDocument/2006/relationships/hyperlink" Target="https://www.twitch.tv/nagzz" TargetMode="External"/><Relationship Id="rId330" Type="http://schemas.openxmlformats.org/officeDocument/2006/relationships/hyperlink" Target="https://www.youtube.com/channel/UC8PMqEDpXcsooyDGiLvxs4w" TargetMode="External"/><Relationship Id="rId213" Type="http://schemas.openxmlformats.org/officeDocument/2006/relationships/hyperlink" Target="https://www.youtube.com/channel/UCReU-IqthhUbR7N7EsTu6MQ" TargetMode="External"/><Relationship Id="rId334" Type="http://schemas.openxmlformats.org/officeDocument/2006/relationships/hyperlink" Target="https://www.twitch.tv/kairyucrocodile" TargetMode="External"/><Relationship Id="rId212" Type="http://schemas.openxmlformats.org/officeDocument/2006/relationships/hyperlink" Target="https://www.twitch.tv/jessecox" TargetMode="External"/><Relationship Id="rId333" Type="http://schemas.openxmlformats.org/officeDocument/2006/relationships/hyperlink" Target="https://www.youtube.com/@KairyuCrocodile" TargetMode="External"/><Relationship Id="rId211" Type="http://schemas.openxmlformats.org/officeDocument/2006/relationships/hyperlink" Target="https://youtube.com/JesseCox" TargetMode="External"/><Relationship Id="rId332" Type="http://schemas.openxmlformats.org/officeDocument/2006/relationships/hyperlink" Target="https://virtualyoutuber.fandom.com/wiki/Beribug" TargetMode="External"/><Relationship Id="rId210" Type="http://schemas.openxmlformats.org/officeDocument/2006/relationships/hyperlink" Target="https://www.twitch.tv/dexbonus" TargetMode="External"/><Relationship Id="rId331" Type="http://schemas.openxmlformats.org/officeDocument/2006/relationships/hyperlink" Target="https://www.twitch.tv/beribug" TargetMode="External"/><Relationship Id="rId129" Type="http://schemas.openxmlformats.org/officeDocument/2006/relationships/hyperlink" Target="https://www.twitch.tv/kokonuts" TargetMode="External"/><Relationship Id="rId128" Type="http://schemas.openxmlformats.org/officeDocument/2006/relationships/hyperlink" Target="https://www.youtube.com/channel/UCk9qayCnFw51PIUZKVxH1UQ" TargetMode="External"/><Relationship Id="rId249" Type="http://schemas.openxmlformats.org/officeDocument/2006/relationships/hyperlink" Target="https://virtualyoutuber.fandom.com/wiki/Fuwawa_Abyssgard" TargetMode="External"/><Relationship Id="rId127" Type="http://schemas.openxmlformats.org/officeDocument/2006/relationships/hyperlink" Target="https://www.twitch.tv/kloekroc" TargetMode="External"/><Relationship Id="rId248" Type="http://schemas.openxmlformats.org/officeDocument/2006/relationships/hyperlink" Target="https://www.youtube.com/@FUWAMOCOch" TargetMode="External"/><Relationship Id="rId126" Type="http://schemas.openxmlformats.org/officeDocument/2006/relationships/hyperlink" Target="https://www.youtube.com/@KloeKroc" TargetMode="External"/><Relationship Id="rId247" Type="http://schemas.openxmlformats.org/officeDocument/2006/relationships/hyperlink" Target="https://virtualyoutuber.fandom.com/wiki/Shiori_Novella" TargetMode="External"/><Relationship Id="rId121" Type="http://schemas.openxmlformats.org/officeDocument/2006/relationships/hyperlink" Target="https://www.youtube.com/@inannabell" TargetMode="External"/><Relationship Id="rId242" Type="http://schemas.openxmlformats.org/officeDocument/2006/relationships/hyperlink" Target="https://www.twitch.tv/nerissaravencroft" TargetMode="External"/><Relationship Id="rId120" Type="http://schemas.openxmlformats.org/officeDocument/2006/relationships/hyperlink" Target="https://virtualyoutuber.fandom.com/wiki/Heavenly_Father" TargetMode="External"/><Relationship Id="rId241" Type="http://schemas.openxmlformats.org/officeDocument/2006/relationships/hyperlink" Target="https://www.youtube.com/@NerissaRavencroft" TargetMode="External"/><Relationship Id="rId240" Type="http://schemas.openxmlformats.org/officeDocument/2006/relationships/hyperlink" Target="https://virtualyoutuber.fandom.com/wiki/Ninomae_Ina'nis" TargetMode="External"/><Relationship Id="rId125" Type="http://schemas.openxmlformats.org/officeDocument/2006/relationships/hyperlink" Target="https://virtualyoutuber.fandom.com/wiki/Isaa_Corva" TargetMode="External"/><Relationship Id="rId246" Type="http://schemas.openxmlformats.org/officeDocument/2006/relationships/hyperlink" Target="https://www.youtube.com/@ShioriNovella" TargetMode="External"/><Relationship Id="rId124" Type="http://schemas.openxmlformats.org/officeDocument/2006/relationships/hyperlink" Target="https://www.twitch.tv/isaa" TargetMode="External"/><Relationship Id="rId245" Type="http://schemas.openxmlformats.org/officeDocument/2006/relationships/hyperlink" Target="https://virtualyoutuber.fandom.com/wiki/Koseki_Bijou" TargetMode="External"/><Relationship Id="rId123" Type="http://schemas.openxmlformats.org/officeDocument/2006/relationships/hyperlink" Target="https://www.youtube.com/@isaacorva" TargetMode="External"/><Relationship Id="rId244" Type="http://schemas.openxmlformats.org/officeDocument/2006/relationships/hyperlink" Target="https://www.youtube.com/@KosekiBijou" TargetMode="External"/><Relationship Id="rId122" Type="http://schemas.openxmlformats.org/officeDocument/2006/relationships/hyperlink" Target="https://www.twitch.tv/inannabell" TargetMode="External"/><Relationship Id="rId243" Type="http://schemas.openxmlformats.org/officeDocument/2006/relationships/hyperlink" Target="https://virtualyoutuber.fandom.com/wiki/Nerissa_Ravencroft" TargetMode="External"/><Relationship Id="rId95" Type="http://schemas.openxmlformats.org/officeDocument/2006/relationships/hyperlink" Target="https://www.twitch.tv/dokibird" TargetMode="External"/><Relationship Id="rId94" Type="http://schemas.openxmlformats.org/officeDocument/2006/relationships/hyperlink" Target="https://www.youtube.com/@Dokibird" TargetMode="External"/><Relationship Id="rId97" Type="http://schemas.openxmlformats.org/officeDocument/2006/relationships/hyperlink" Target="https://www.youtube.com/@dooby3d" TargetMode="External"/><Relationship Id="rId96" Type="http://schemas.openxmlformats.org/officeDocument/2006/relationships/hyperlink" Target="https://virtualyoutuber.fandom.com/wiki/Dokibird" TargetMode="External"/><Relationship Id="rId99" Type="http://schemas.openxmlformats.org/officeDocument/2006/relationships/hyperlink" Target="https://virtualyoutuber.fandom.com/wiki/Dooby3D" TargetMode="External"/><Relationship Id="rId98" Type="http://schemas.openxmlformats.org/officeDocument/2006/relationships/hyperlink" Target="https://www.twitch.tv/dooby3d" TargetMode="External"/><Relationship Id="rId91" Type="http://schemas.openxmlformats.org/officeDocument/2006/relationships/hyperlink" Target="https://www.youtube.com/c/@CyYuvods" TargetMode="External"/><Relationship Id="rId90" Type="http://schemas.openxmlformats.org/officeDocument/2006/relationships/hyperlink" Target="https://www.twitch.tv/croc" TargetMode="External"/><Relationship Id="rId93" Type="http://schemas.openxmlformats.org/officeDocument/2006/relationships/hyperlink" Target="https://virtualyoutuber.fandom.com/wiki/CyYu" TargetMode="External"/><Relationship Id="rId92" Type="http://schemas.openxmlformats.org/officeDocument/2006/relationships/hyperlink" Target="https://www.twitch.tv/cyyuvtuber" TargetMode="External"/><Relationship Id="rId118" Type="http://schemas.openxmlformats.org/officeDocument/2006/relationships/hyperlink" Target="https://www.youtube.com/channel/UCrx5cwSB4bl3fI34Boxvq2A" TargetMode="External"/><Relationship Id="rId239" Type="http://schemas.openxmlformats.org/officeDocument/2006/relationships/hyperlink" Target="https://www.youtube.com/@NinomaeInanis" TargetMode="External"/><Relationship Id="rId117" Type="http://schemas.openxmlformats.org/officeDocument/2006/relationships/hyperlink" Target="https://virtualyoutuber.fandom.com/wiki/Girl_dm" TargetMode="External"/><Relationship Id="rId238" Type="http://schemas.openxmlformats.org/officeDocument/2006/relationships/hyperlink" Target="https://virtualyoutuber.fandom.com/wiki/Takanashi_Kiara" TargetMode="External"/><Relationship Id="rId116" Type="http://schemas.openxmlformats.org/officeDocument/2006/relationships/hyperlink" Target="https://www.twitch.tv/girl_dm_" TargetMode="External"/><Relationship Id="rId237" Type="http://schemas.openxmlformats.org/officeDocument/2006/relationships/hyperlink" Target="https://www.twitch.tv/kiara" TargetMode="External"/><Relationship Id="rId115" Type="http://schemas.openxmlformats.org/officeDocument/2006/relationships/hyperlink" Target="https://www.youtube.com/channel/UC_WC6plpIdL_buebR9vSVkg" TargetMode="External"/><Relationship Id="rId236" Type="http://schemas.openxmlformats.org/officeDocument/2006/relationships/hyperlink" Target="https://t.co/mZsEcWct3I" TargetMode="External"/><Relationship Id="rId119" Type="http://schemas.openxmlformats.org/officeDocument/2006/relationships/hyperlink" Target="https://www.twitch.tv/heavenlyfather" TargetMode="External"/><Relationship Id="rId110" Type="http://schemas.openxmlformats.org/officeDocument/2006/relationships/hyperlink" Target="https://www.twitch.tv/froggyloch" TargetMode="External"/><Relationship Id="rId231" Type="http://schemas.openxmlformats.org/officeDocument/2006/relationships/hyperlink" Target="https://www.twitch.tv/ellie_minibot" TargetMode="External"/><Relationship Id="rId230" Type="http://schemas.openxmlformats.org/officeDocument/2006/relationships/hyperlink" Target="https://www.youtube.com/channel/UCeZe82WbZ7VL9meqWli6qxg" TargetMode="External"/><Relationship Id="rId114" Type="http://schemas.openxmlformats.org/officeDocument/2006/relationships/hyperlink" Target="https://virtualyoutuber.fandom.com/wiki/Fufu" TargetMode="External"/><Relationship Id="rId235" Type="http://schemas.openxmlformats.org/officeDocument/2006/relationships/hyperlink" Target="https://virtualyoutuber.fandom.com/wiki/Mori_Calliope" TargetMode="External"/><Relationship Id="rId113" Type="http://schemas.openxmlformats.org/officeDocument/2006/relationships/hyperlink" Target="https://www.twitch.tv/fufu" TargetMode="External"/><Relationship Id="rId234" Type="http://schemas.openxmlformats.org/officeDocument/2006/relationships/hyperlink" Target="https://www.twitch.tv/moricalliope/about" TargetMode="External"/><Relationship Id="rId112" Type="http://schemas.openxmlformats.org/officeDocument/2006/relationships/hyperlink" Target="https://www.youtube.com/channel/UCNMHJ9WnMXabPn-iyQKAdcA" TargetMode="External"/><Relationship Id="rId233" Type="http://schemas.openxmlformats.org/officeDocument/2006/relationships/hyperlink" Target="https://www.youtube.com/@MoriCalliope/featured" TargetMode="External"/><Relationship Id="rId111" Type="http://schemas.openxmlformats.org/officeDocument/2006/relationships/hyperlink" Target="https://virtualyoutuber.fandom.com/wiki/FroggyLoch" TargetMode="External"/><Relationship Id="rId232" Type="http://schemas.openxmlformats.org/officeDocument/2006/relationships/hyperlink" Target="https://virtualyoutuber.fandom.com/wiki/Ellie_Minibot" TargetMode="External"/><Relationship Id="rId305" Type="http://schemas.openxmlformats.org/officeDocument/2006/relationships/hyperlink" Target="https://virtualyoutuber.fandom.com/wiki/ShiaBun" TargetMode="External"/><Relationship Id="rId304" Type="http://schemas.openxmlformats.org/officeDocument/2006/relationships/hyperlink" Target="https://www.twitch.tv/shiabun" TargetMode="External"/><Relationship Id="rId303" Type="http://schemas.openxmlformats.org/officeDocument/2006/relationships/hyperlink" Target="https://www.youtube.com/c/ShiaBun" TargetMode="External"/><Relationship Id="rId302" Type="http://schemas.openxmlformats.org/officeDocument/2006/relationships/hyperlink" Target="https://virtualyoutuber.fandom.com/wiki/Rosedoodle" TargetMode="External"/><Relationship Id="rId309" Type="http://schemas.openxmlformats.org/officeDocument/2006/relationships/hyperlink" Target="https://virtualyoutuber.fandom.com/wiki/Victoria_Roman" TargetMode="External"/><Relationship Id="rId308" Type="http://schemas.openxmlformats.org/officeDocument/2006/relationships/hyperlink" Target="https://www.youtube.com/@vickyroman_idol" TargetMode="External"/><Relationship Id="rId307" Type="http://schemas.openxmlformats.org/officeDocument/2006/relationships/hyperlink" Target="https://virtualyoutuber.fandom.com/wiki/Mint_Fant%C3%B4me" TargetMode="External"/><Relationship Id="rId306" Type="http://schemas.openxmlformats.org/officeDocument/2006/relationships/hyperlink" Target="https://www.youtube.com/@mintfantome" TargetMode="External"/><Relationship Id="rId301" Type="http://schemas.openxmlformats.org/officeDocument/2006/relationships/hyperlink" Target="https://www.twitch.tv/rosedoodle" TargetMode="External"/><Relationship Id="rId300" Type="http://schemas.openxmlformats.org/officeDocument/2006/relationships/hyperlink" Target="https://www.youtube.com/channel/UCihXhXRz8tj91hBptuSsQ0g" TargetMode="External"/><Relationship Id="rId206" Type="http://schemas.openxmlformats.org/officeDocument/2006/relationships/hyperlink" Target="https://en.wikipedia.org/wiki/CDawgVA" TargetMode="External"/><Relationship Id="rId327" Type="http://schemas.openxmlformats.org/officeDocument/2006/relationships/hyperlink" Target="https://www.youtube.com/c/PiaPIUFO" TargetMode="External"/><Relationship Id="rId205" Type="http://schemas.openxmlformats.org/officeDocument/2006/relationships/hyperlink" Target="https://www.twitch.tv/cdawg" TargetMode="External"/><Relationship Id="rId326" Type="http://schemas.openxmlformats.org/officeDocument/2006/relationships/hyperlink" Target="https://virtualyoutuber.fandom.com/wiki/Tori_Oriane" TargetMode="External"/><Relationship Id="rId204" Type="http://schemas.openxmlformats.org/officeDocument/2006/relationships/hyperlink" Target="https://www.youtube.com/channel/UCPsZ_0SkFdi551iYTG04R2g" TargetMode="External"/><Relationship Id="rId325" Type="http://schemas.openxmlformats.org/officeDocument/2006/relationships/hyperlink" Target="https://www.twitch.tv/torioriane" TargetMode="External"/><Relationship Id="rId203" Type="http://schemas.openxmlformats.org/officeDocument/2006/relationships/hyperlink" Target="https://www.twitch.tv/x3dustco" TargetMode="External"/><Relationship Id="rId324" Type="http://schemas.openxmlformats.org/officeDocument/2006/relationships/hyperlink" Target="https://www.youtube.com/@ToriOriane/featured" TargetMode="External"/><Relationship Id="rId209" Type="http://schemas.openxmlformats.org/officeDocument/2006/relationships/hyperlink" Target="https://www.youtube.com/@DexbonusVOD" TargetMode="External"/><Relationship Id="rId208" Type="http://schemas.openxmlformats.org/officeDocument/2006/relationships/hyperlink" Target="https://en.wikipedia.org/wiki/Chris_Broad_(YouTuber)" TargetMode="External"/><Relationship Id="rId329" Type="http://schemas.openxmlformats.org/officeDocument/2006/relationships/hyperlink" Target="https://virtualyoutuber.fandom.com/wiki/PiaPiUFO" TargetMode="External"/><Relationship Id="rId207" Type="http://schemas.openxmlformats.org/officeDocument/2006/relationships/hyperlink" Target="https://www.youtube.com/@AbroadinJapan" TargetMode="External"/><Relationship Id="rId328" Type="http://schemas.openxmlformats.org/officeDocument/2006/relationships/hyperlink" Target="https://www.twitch.tv/piapiufo" TargetMode="External"/><Relationship Id="rId202" Type="http://schemas.openxmlformats.org/officeDocument/2006/relationships/hyperlink" Target="https://virtualyoutuber.fandom.com/wiki/Vexoria_the_Sun_Eater" TargetMode="External"/><Relationship Id="rId323" Type="http://schemas.openxmlformats.org/officeDocument/2006/relationships/hyperlink" Target="https://virtualyoutuber.fandom.com/wiki/Okamoto_Nagi" TargetMode="External"/><Relationship Id="rId201" Type="http://schemas.openxmlformats.org/officeDocument/2006/relationships/hyperlink" Target="https://www.twitch.tv/vexoria_the_suneater" TargetMode="External"/><Relationship Id="rId322" Type="http://schemas.openxmlformats.org/officeDocument/2006/relationships/hyperlink" Target="https://www.twitch.tv/nagisekaied" TargetMode="External"/><Relationship Id="rId200" Type="http://schemas.openxmlformats.org/officeDocument/2006/relationships/hyperlink" Target="https://www.youtube.com/channel/UC9r8dNEoXdIpYTnoMVFwzhg" TargetMode="External"/><Relationship Id="rId321" Type="http://schemas.openxmlformats.org/officeDocument/2006/relationships/hyperlink" Target="https://www.youtube.com/@NagIsekaied" TargetMode="External"/><Relationship Id="rId320" Type="http://schemas.openxmlformats.org/officeDocument/2006/relationships/hyperlink" Target="https://virtualyoutuber.fandom.com/wiki/Yutori_Peke" TargetMode="External"/><Relationship Id="rId316" Type="http://schemas.openxmlformats.org/officeDocument/2006/relationships/hyperlink" Target="https://www.twitch.tv/hestiahappiness" TargetMode="External"/><Relationship Id="rId315" Type="http://schemas.openxmlformats.org/officeDocument/2006/relationships/hyperlink" Target="https://www.youtube.com/channel/UCyaxhmE-zyUIjMfCGQ75vlA" TargetMode="External"/><Relationship Id="rId314" Type="http://schemas.openxmlformats.org/officeDocument/2006/relationships/hyperlink" Target="https://virtualyoutuber.fandom.com/wiki/Akatsuki_Hotaru" TargetMode="External"/><Relationship Id="rId313" Type="http://schemas.openxmlformats.org/officeDocument/2006/relationships/hyperlink" Target="https://www.twitch.tv/akatsukidhotaru" TargetMode="External"/><Relationship Id="rId319" Type="http://schemas.openxmlformats.org/officeDocument/2006/relationships/hyperlink" Target="https://www.twitch.tv/pekeispeak" TargetMode="External"/><Relationship Id="rId318" Type="http://schemas.openxmlformats.org/officeDocument/2006/relationships/hyperlink" Target="https://www.youtube.com/@PekeIsPeak" TargetMode="External"/><Relationship Id="rId317" Type="http://schemas.openxmlformats.org/officeDocument/2006/relationships/hyperlink" Target="https://virtualyoutuber.fandom.com/wiki/Hestia_Happiness" TargetMode="External"/><Relationship Id="rId312" Type="http://schemas.openxmlformats.org/officeDocument/2006/relationships/hyperlink" Target="https://www.youtube.com/@AkatsukiDHotaru" TargetMode="External"/><Relationship Id="rId311" Type="http://schemas.openxmlformats.org/officeDocument/2006/relationships/hyperlink" Target="https://virtualyoutuber.fandom.com/wiki/Phoebe_Chan" TargetMode="External"/><Relationship Id="rId310" Type="http://schemas.openxmlformats.org/officeDocument/2006/relationships/hyperlink" Target="https://www.youtube.com/@feebeechanchib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0.63"/>
    <col customWidth="1" min="4" max="4" width="69.7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2.5" customHeight="1">
      <c r="A2" s="1" t="b">
        <v>1</v>
      </c>
      <c r="B2" s="1">
        <f t="shared" ref="B2:B13" si="1">ROW(B2)+5000</f>
        <v>5002</v>
      </c>
      <c r="C2" s="4" t="s">
        <v>4</v>
      </c>
      <c r="D2" s="5" t="str">
        <f>IFERROR(__xludf.DUMMYFUNCTION("JOIN("", "", IFERROR(FILTER(ROW(talentInterests:talentInterests), ISNUMBER(SEARCH(C2, talentInterests:talentInterests)), talentIndex:talentIndex=TRUE)))"),"40, 74, 119")</f>
        <v>40, 74, 119</v>
      </c>
    </row>
    <row r="3" ht="22.5" customHeight="1">
      <c r="A3" s="1" t="b">
        <v>1</v>
      </c>
      <c r="B3" s="1">
        <f t="shared" si="1"/>
        <v>5003</v>
      </c>
      <c r="C3" s="4" t="s">
        <v>5</v>
      </c>
      <c r="D3" s="5" t="str">
        <f>IFERROR(__xludf.DUMMYFUNCTION("JOIN("", "", IFERROR(FILTER(ROW(talentInterests:talentInterests), ISNUMBER(SEARCH(C3, talentInterests:talentInterests)), talentIndex:talentIndex=TRUE)))"),"25, 30, 91")</f>
        <v>25, 30, 91</v>
      </c>
    </row>
    <row r="4" ht="22.5" customHeight="1">
      <c r="A4" s="1" t="b">
        <v>1</v>
      </c>
      <c r="B4" s="1">
        <f t="shared" si="1"/>
        <v>5004</v>
      </c>
      <c r="C4" s="4" t="s">
        <v>6</v>
      </c>
      <c r="D4" s="5" t="str">
        <f>IFERROR(__xludf.DUMMYFUNCTION("JOIN("", "", IFERROR(FILTER(ROW(talentInterests:talentInterests), ISNUMBER(SEARCH(C4, talentInterests:talentInterests)), talentIndex:talentIndex=TRUE)))"),"14, 83")</f>
        <v>14, 83</v>
      </c>
    </row>
    <row r="5" ht="22.5" customHeight="1">
      <c r="A5" s="1" t="b">
        <v>1</v>
      </c>
      <c r="B5" s="1">
        <f t="shared" si="1"/>
        <v>5005</v>
      </c>
      <c r="C5" s="4" t="s">
        <v>7</v>
      </c>
      <c r="D5" s="5" t="str">
        <f>IFERROR(__xludf.DUMMYFUNCTION("JOIN("", "", IFERROR(FILTER(ROW(talentInterests:talentInterests), ISNUMBER(SEARCH(C5, talentInterests:talentInterests)), talentIndex:talentIndex=TRUE)))"),"2, 3, 4, 5, 6, 7, 8, 9, 10, 11, 12, 13, 14, 17, 18, 19, 20, 21, 22, 23, 24, 30, 33, 34, 35, 38, 40, 41, 43, 45, 46, 48, 49, 50, 51, 54, 57, 58, 60, 61, 64, 65, 67, 72, 73, 74, 78, 83, 84, 85, 89, 90, 91, 92, 93, 94, 95, 96, 97, 98, 99, 100, 101, 102, 103,"&amp;" 104, 105, 106, 107, 108, 109, 110, 111, 113, 114, 115, 116, 117, 118, 119, 120, 121, 122, 123, 124, 125, 126, 127, 128, 129, 130, 131")</f>
        <v>2, 3, 4, 5, 6, 7, 8, 9, 10, 11, 12, 13, 14, 17, 18, 19, 20, 21, 22, 23, 24, 30, 33, 34, 35, 38, 40, 41, 43, 45, 46, 48, 49, 50, 51, 54, 57, 58, 60, 61, 64, 65, 67, 72, 73, 74, 78, 83, 84, 85, 89, 90, 91, 92, 93, 94, 95, 96, 97, 98, 99, 100, 101, 102, 103, 104, 105, 106, 107, 108, 109, 110, 111, 113, 114, 115, 116, 117, 118, 119, 120, 121, 122, 123, 124, 125, 126, 127, 128, 129, 130, 131</v>
      </c>
    </row>
    <row r="6" ht="22.5" customHeight="1">
      <c r="A6" s="1" t="b">
        <v>1</v>
      </c>
      <c r="B6" s="1">
        <f t="shared" si="1"/>
        <v>5006</v>
      </c>
      <c r="C6" s="4" t="s">
        <v>8</v>
      </c>
      <c r="D6" s="5" t="str">
        <f>IFERROR(__xludf.DUMMYFUNCTION("JOIN("", "", IFERROR(FILTER(ROW(talentInterests:talentInterests), ISNUMBER(SEARCH(C6, talentInterests:talentInterests)), talentIndex:talentIndex=TRUE)))"),"64, 78, 84")</f>
        <v>64, 78, 84</v>
      </c>
    </row>
    <row r="7" ht="22.5" customHeight="1">
      <c r="A7" s="1" t="b">
        <v>1</v>
      </c>
      <c r="B7" s="1">
        <f t="shared" si="1"/>
        <v>5007</v>
      </c>
      <c r="C7" s="4" t="s">
        <v>9</v>
      </c>
      <c r="D7" s="5" t="str">
        <f>IFERROR(__xludf.DUMMYFUNCTION("JOIN("", "", IFERROR(FILTER(ROW(talentInterests:talentInterests), ISNUMBER(SEARCH(C7, talentInterests:talentInterests)), talentIndex:talentIndex=TRUE)))"),"6, 8, 11, 14, 17, 47, 48, 60, 72, 83, 85, 115, 116")</f>
        <v>6, 8, 11, 14, 17, 47, 48, 60, 72, 83, 85, 115, 116</v>
      </c>
    </row>
    <row r="8" ht="22.5" customHeight="1">
      <c r="A8" s="1" t="b">
        <v>1</v>
      </c>
      <c r="B8" s="1">
        <f t="shared" si="1"/>
        <v>5008</v>
      </c>
      <c r="C8" s="4" t="s">
        <v>10</v>
      </c>
      <c r="D8" s="5" t="str">
        <f>IFERROR(__xludf.DUMMYFUNCTION("JOIN("", "", IFERROR(FILTER(ROW(talentInterests:talentInterests), ISNUMBER(SEARCH(C8, talentInterests:talentInterests)), talentIndex:talentIndex=TRUE)))"),"2, 3, 4, 6, 8, 9, 11, 12, 13, 17, 18, 19, 21, 23, 25, 30, 34, 35, 40, 45, 50, 56, 57, 58, 64, 65, 67, 69, 72, 83, 84, 88, 89, 90, 91, 92, 93, 94, 95, 96, 97, 98, 99, 100, 101, 102, 103, 104, 105, 106, 107, 108, 109, 110, 111, 113, 115, 116, 117, 120, 121,"&amp;" 122, 123, 124, 125, 126, 127, 128, 129, 130, 131")</f>
        <v>2, 3, 4, 6, 8, 9, 11, 12, 13, 17, 18, 19, 21, 23, 25, 30, 34, 35, 40, 45, 50, 56, 57, 58, 64, 65, 67, 69, 72, 83, 84, 88, 89, 90, 91, 92, 93, 94, 95, 96, 97, 98, 99, 100, 101, 102, 103, 104, 105, 106, 107, 108, 109, 110, 111, 113, 115, 116, 117, 120, 121, 122, 123, 124, 125, 126, 127, 128, 129, 130, 131</v>
      </c>
    </row>
    <row r="9" ht="22.5" customHeight="1">
      <c r="A9" s="1" t="b">
        <v>1</v>
      </c>
      <c r="B9" s="1">
        <f t="shared" si="1"/>
        <v>5009</v>
      </c>
      <c r="C9" s="4" t="s">
        <v>11</v>
      </c>
      <c r="D9" s="5" t="str">
        <f>IFERROR(__xludf.DUMMYFUNCTION("JOIN("", "", IFERROR(FILTER(ROW(talentInterests:talentInterests), ISNUMBER(SEARCH(C9, talentInterests:talentInterests)), talentIndex:talentIndex=TRUE)))"),"")</f>
        <v/>
      </c>
    </row>
    <row r="10" ht="22.5" customHeight="1">
      <c r="A10" s="1" t="b">
        <v>1</v>
      </c>
      <c r="B10" s="1">
        <f t="shared" si="1"/>
        <v>5010</v>
      </c>
      <c r="C10" s="4" t="s">
        <v>12</v>
      </c>
      <c r="D10" s="5" t="str">
        <f>IFERROR(__xludf.DUMMYFUNCTION("JOIN("", "", IFERROR(FILTER(ROW(talentInterests:talentInterests), ISNUMBER(SEARCH(C10, talentInterests:talentInterests)), talentIndex:talentIndex=TRUE)))"),"14, 30, 38, 51, 73")</f>
        <v>14, 30, 38, 51, 73</v>
      </c>
    </row>
    <row r="11" ht="22.5" customHeight="1">
      <c r="A11" s="1" t="b">
        <v>1</v>
      </c>
      <c r="B11" s="1">
        <f t="shared" si="1"/>
        <v>5011</v>
      </c>
      <c r="C11" s="4" t="s">
        <v>13</v>
      </c>
      <c r="D11" s="5" t="str">
        <f>IFERROR(__xludf.DUMMYFUNCTION("JOIN("", "", IFERROR(FILTER(ROW(talentInterests:talentInterests), ISNUMBER(SEARCH(C11, talentInterests:talentInterests)), talentIndex:talentIndex=TRUE)))"),"114, 118")</f>
        <v>114, 118</v>
      </c>
    </row>
    <row r="12" ht="22.5" customHeight="1">
      <c r="A12" s="1" t="b">
        <v>1</v>
      </c>
      <c r="B12" s="1">
        <f t="shared" si="1"/>
        <v>5012</v>
      </c>
      <c r="C12" s="4" t="s">
        <v>14</v>
      </c>
      <c r="D12" s="5" t="str">
        <f>IFERROR(__xludf.DUMMYFUNCTION("JOIN("", "", IFERROR(FILTER(ROW(talentInterests:talentInterests), ISNUMBER(SEARCH(C12, talentInterests:talentInterests)), talentIndex:talentIndex=TRUE)))"),"12, 71")</f>
        <v>12, 71</v>
      </c>
    </row>
    <row r="13" ht="22.5" customHeight="1">
      <c r="A13" s="1" t="b">
        <v>1</v>
      </c>
      <c r="B13" s="1">
        <f t="shared" si="1"/>
        <v>5013</v>
      </c>
      <c r="C13" s="4" t="s">
        <v>15</v>
      </c>
      <c r="D13" s="5" t="str">
        <f>IFERROR(__xludf.DUMMYFUNCTION("JOIN("", "", IFERROR(FILTER(ROW(talentInterests:talentInterests), ISNUMBER(SEARCH(C13, talentInterests:talentInterests)), talentIndex:talentIndex=TRUE)))"),"4, 6, 8, 11, 12, 14, 17, 18, 24, 38, 40, 41, 43, 46, 47, 50, 51, 56, 57, 58, 60, 61, 64, 65, 69, 71, 72, 73, 78, 83, 84, 85, 88, 89, 90, 91, 92, 93, 94, 95, 96, 97, 98, 99, 100, 101, 102, 103, 104, 105, 106, 107, 108, 109, 110, 111, 113, 115, 116, 117, 11"&amp;"8, 119, 120, 121, 122, 123, 124, 125, 126, 127, 128, 129, 130, 131")</f>
        <v>4, 6, 8, 11, 12, 14, 17, 18, 24, 38, 40, 41, 43, 46, 47, 50, 51, 56, 57, 58, 60, 61, 64, 65, 69, 71, 72, 73, 78, 83, 84, 85, 88, 89, 90, 91, 92, 93, 94, 95, 96, 97, 98, 99, 100, 101, 102, 103, 104, 105, 106, 107, 108, 109, 110, 111, 113, 115, 116, 117, 118, 119, 120, 121, 122, 123, 124, 125, 126, 127, 128, 129, 130, 131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1.25"/>
    <col customWidth="1" min="3" max="3" width="19.75"/>
    <col customWidth="1" min="4" max="4" width="19.88"/>
    <col customWidth="1" min="5" max="5" width="47.0"/>
    <col customWidth="1" min="6" max="6" width="16.88"/>
    <col customWidth="1" min="7" max="7" width="26.13"/>
    <col customWidth="1" min="8" max="8" width="23.88"/>
    <col customWidth="1" min="9" max="9" width="42.25"/>
    <col customWidth="1" min="10" max="10" width="38.75"/>
    <col customWidth="1" min="11" max="11" width="31.75"/>
  </cols>
  <sheetData>
    <row r="1" ht="22.5" customHeight="1">
      <c r="A1" s="1" t="s">
        <v>0</v>
      </c>
      <c r="B1" s="2" t="s">
        <v>1</v>
      </c>
      <c r="C1" s="1" t="s">
        <v>16</v>
      </c>
      <c r="D1" s="1" t="s">
        <v>2</v>
      </c>
      <c r="E1" s="2" t="s">
        <v>3</v>
      </c>
      <c r="F1" s="2" t="s">
        <v>17</v>
      </c>
      <c r="G1" s="2" t="s">
        <v>18</v>
      </c>
      <c r="H1" s="2" t="s">
        <v>19</v>
      </c>
      <c r="I1" s="1" t="s">
        <v>20</v>
      </c>
      <c r="J1" s="1" t="s">
        <v>21</v>
      </c>
      <c r="K1" s="1" t="s">
        <v>22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2.5" customHeight="1">
      <c r="A2" s="1" t="b">
        <v>1</v>
      </c>
      <c r="B2" s="1">
        <f t="shared" ref="B2:B19" si="1">ROW(B2)+1000</f>
        <v>1002</v>
      </c>
      <c r="C2" s="4" t="s">
        <v>23</v>
      </c>
      <c r="D2" s="4" t="s">
        <v>24</v>
      </c>
      <c r="E2" s="6" t="s">
        <v>25</v>
      </c>
      <c r="F2" s="1" t="b">
        <v>0</v>
      </c>
      <c r="G2" s="7"/>
      <c r="H2" s="8" t="str">
        <f>IFERROR(__xludf.DUMMYFUNCTION("JOIN("", "", IFERROR(FILTER(ROW(formalGroupSubgroupParent:formalGroupSubgroupParent), formalGroupSubgroupParent:formalGroupSubgroupParent=D2)))
"),"")</f>
        <v/>
      </c>
      <c r="I2" s="4" t="s">
        <v>26</v>
      </c>
      <c r="J2" s="4" t="s">
        <v>27</v>
      </c>
      <c r="K2" s="4" t="s">
        <v>28</v>
      </c>
    </row>
    <row r="3" ht="22.5" customHeight="1">
      <c r="A3" s="1" t="b">
        <v>1</v>
      </c>
      <c r="B3" s="1">
        <f t="shared" si="1"/>
        <v>1003</v>
      </c>
      <c r="C3" s="4" t="s">
        <v>29</v>
      </c>
      <c r="D3" s="4" t="s">
        <v>30</v>
      </c>
      <c r="E3" s="6" t="str">
        <f>IFERROR(__xludf.DUMMYFUNCTION("JOIN("", "", IFERROR(FILTER(ROW(talentGroupFormal:talentGroupFormal), talentGroupFormal:talentGroupFormal=D3, talentIndex:talentIndex=TRUE)))"),"121, 122, 123")</f>
        <v>121, 122, 123</v>
      </c>
      <c r="F3" s="1" t="b">
        <v>0</v>
      </c>
      <c r="G3" s="7"/>
      <c r="H3" s="8" t="str">
        <f>IFERROR(__xludf.DUMMYFUNCTION("JOIN("", "", IFERROR(FILTER(ROW(formalGroupSubgroupParent:formalGroupSubgroupParent), formalGroupSubgroupParent:formalGroupSubgroupParent=D3)))
"),"")</f>
        <v/>
      </c>
    </row>
    <row r="4" ht="22.5" customHeight="1">
      <c r="A4" s="1" t="b">
        <v>1</v>
      </c>
      <c r="B4" s="1">
        <f t="shared" si="1"/>
        <v>1004</v>
      </c>
      <c r="C4" s="4" t="s">
        <v>31</v>
      </c>
      <c r="D4" s="4" t="s">
        <v>32</v>
      </c>
      <c r="E4" s="6" t="str">
        <f>IFERROR(__xludf.DUMMYFUNCTION("JOIN("", "", IFERROR(FILTER(ROW(talentGroupFormal:talentGroupFormal), talentGroupFormal:talentGroupFormal=D4, talentIndex:talentIndex=TRUE)))"),"")</f>
        <v/>
      </c>
      <c r="F4" s="1" t="b">
        <v>0</v>
      </c>
      <c r="G4" s="7"/>
      <c r="H4" s="8" t="str">
        <f>IFERROR(__xludf.DUMMYFUNCTION("JOIN("", "", IFERROR(FILTER(ROW(formalGroupSubgroupParent:formalGroupSubgroupParent), formalGroupSubgroupParent:formalGroupSubgroupParent=D4)))
"),"5, 6, 7")</f>
        <v>5, 6, 7</v>
      </c>
    </row>
    <row r="5" ht="22.5" customHeight="1">
      <c r="A5" s="1" t="b">
        <v>1</v>
      </c>
      <c r="B5" s="1">
        <f t="shared" si="1"/>
        <v>1005</v>
      </c>
      <c r="C5" s="4" t="s">
        <v>31</v>
      </c>
      <c r="D5" s="4" t="s">
        <v>33</v>
      </c>
      <c r="E5" s="6" t="str">
        <f>IFERROR(__xludf.DUMMYFUNCTION("JOIN("", "", IFERROR(FILTER(ROW(talentGroupFormal:talentGroupFormal), talentGroupFormal:talentGroupFormal=D5, talentIndex:talentIndex=TRUE)))"),"")</f>
        <v/>
      </c>
      <c r="F5" s="1" t="b">
        <v>1</v>
      </c>
      <c r="G5" s="9" t="s">
        <v>32</v>
      </c>
      <c r="H5" s="8" t="str">
        <f>IFERROR(__xludf.DUMMYFUNCTION("JOIN("", "", IFERROR(FILTER(ROW(formalGroupSubgroupParent:formalGroupSubgroupParent), formalGroupSubgroupParent:formalGroupSubgroupParent=D5)))
"),"8, 9, 10, 11, 12")</f>
        <v>8, 9, 10, 11, 12</v>
      </c>
    </row>
    <row r="6" ht="22.5" customHeight="1">
      <c r="A6" s="1" t="b">
        <v>1</v>
      </c>
      <c r="B6" s="1">
        <f t="shared" si="1"/>
        <v>1006</v>
      </c>
      <c r="C6" s="4" t="s">
        <v>31</v>
      </c>
      <c r="D6" s="4" t="s">
        <v>34</v>
      </c>
      <c r="E6" s="6" t="str">
        <f>IFERROR(__xludf.DUMMYFUNCTION("JOIN("", "", IFERROR(FILTER(ROW(talentGroupFormal:talentGroupFormal), talentGroupFormal:talentGroupFormal=D6, talentIndex:talentIndex=TRUE)))"),"104, 105, 106, 107, 108, 109, 110")</f>
        <v>104, 105, 106, 107, 108, 109, 110</v>
      </c>
      <c r="F6" s="1" t="b">
        <v>1</v>
      </c>
      <c r="G6" s="9" t="s">
        <v>32</v>
      </c>
      <c r="H6" s="8" t="str">
        <f>IFERROR(__xludf.DUMMYFUNCTION("JOIN("", "", IFERROR(FILTER(ROW(formalGroupSubgroupParent:formalGroupSubgroupParent), formalGroupSubgroupParent:formalGroupSubgroupParent=D6)))
"),"")</f>
        <v/>
      </c>
    </row>
    <row r="7" ht="22.5" customHeight="1">
      <c r="A7" s="1" t="b">
        <v>1</v>
      </c>
      <c r="B7" s="1">
        <f t="shared" si="1"/>
        <v>1007</v>
      </c>
      <c r="C7" s="4" t="s">
        <v>31</v>
      </c>
      <c r="D7" s="4" t="s">
        <v>35</v>
      </c>
      <c r="E7" s="6" t="str">
        <f>IFERROR(__xludf.DUMMYFUNCTION("JOIN("", "", IFERROR(FILTER(ROW(talentGroupFormal:talentGroupFormal), talentGroupFormal:talentGroupFormal=D7, talentIndex:talentIndex=TRUE)))"),"")</f>
        <v/>
      </c>
      <c r="F7" s="1" t="b">
        <v>1</v>
      </c>
      <c r="G7" s="9" t="s">
        <v>32</v>
      </c>
      <c r="H7" s="8" t="str">
        <f>IFERROR(__xludf.DUMMYFUNCTION("JOIN("", "", IFERROR(FILTER(ROW(formalGroupSubgroupParent:formalGroupSubgroupParent), formalGroupSubgroupParent:formalGroupSubgroupParent=D7)))
"),"")</f>
        <v/>
      </c>
    </row>
    <row r="8" ht="22.5" customHeight="1">
      <c r="A8" s="1" t="b">
        <v>1</v>
      </c>
      <c r="B8" s="1">
        <f t="shared" si="1"/>
        <v>1008</v>
      </c>
      <c r="C8" s="4" t="s">
        <v>31</v>
      </c>
      <c r="D8" s="4" t="s">
        <v>36</v>
      </c>
      <c r="E8" s="6" t="str">
        <f>IFERROR(__xludf.DUMMYFUNCTION("JOIN("", "", IFERROR(FILTER(ROW(talentGroupFormal:talentGroupFormal), talentGroupFormal:talentGroupFormal=D8, talentIndex:talentIndex=TRUE)))"),"95, 96, 97, 98, 99")</f>
        <v>95, 96, 97, 98, 99</v>
      </c>
      <c r="F8" s="1" t="b">
        <v>1</v>
      </c>
      <c r="G8" s="9" t="s">
        <v>33</v>
      </c>
      <c r="H8" s="8" t="str">
        <f>IFERROR(__xludf.DUMMYFUNCTION("JOIN("", "", IFERROR(FILTER(ROW(formalGroupSubgroupParent:formalGroupSubgroupParent), formalGroupSubgroupParent:formalGroupSubgroupParent=D8)))
"),"")</f>
        <v/>
      </c>
    </row>
    <row r="9" ht="22.5" customHeight="1">
      <c r="A9" s="1" t="b">
        <v>1</v>
      </c>
      <c r="B9" s="1">
        <f t="shared" si="1"/>
        <v>1009</v>
      </c>
      <c r="C9" s="4" t="s">
        <v>31</v>
      </c>
      <c r="D9" s="4" t="s">
        <v>37</v>
      </c>
      <c r="E9" s="6" t="str">
        <f>IFERROR(__xludf.DUMMYFUNCTION("JOIN("", "", IFERROR(FILTER(ROW(talentGroupFormal:talentGroupFormal), talentGroupFormal:talentGroupFormal=D9, talentIndex:talentIndex=TRUE)))"),"92, 93, 94")</f>
        <v>92, 93, 94</v>
      </c>
      <c r="F9" s="1" t="b">
        <v>1</v>
      </c>
      <c r="G9" s="9" t="s">
        <v>33</v>
      </c>
      <c r="H9" s="8" t="str">
        <f>IFERROR(__xludf.DUMMYFUNCTION("JOIN("", "", IFERROR(FILTER(ROW(formalGroupSubgroupParent:formalGroupSubgroupParent), formalGroupSubgroupParent:formalGroupSubgroupParent=D9)))
"),"")</f>
        <v/>
      </c>
    </row>
    <row r="10" ht="22.5" customHeight="1">
      <c r="A10" s="1" t="b">
        <v>1</v>
      </c>
      <c r="B10" s="1">
        <f t="shared" si="1"/>
        <v>1010</v>
      </c>
      <c r="C10" s="4" t="s">
        <v>31</v>
      </c>
      <c r="D10" s="4" t="s">
        <v>38</v>
      </c>
      <c r="E10" s="6" t="str">
        <f>IFERROR(__xludf.DUMMYFUNCTION("JOIN("", "", IFERROR(FILTER(ROW(talentGroupFormal:talentGroupFormal), talentGroupFormal:talentGroupFormal=D10, talentIndex:talentIndex=TRUE)))"),"")</f>
        <v/>
      </c>
      <c r="F10" s="1" t="b">
        <v>1</v>
      </c>
      <c r="G10" s="9" t="s">
        <v>33</v>
      </c>
      <c r="H10" s="8" t="str">
        <f>IFERROR(__xludf.DUMMYFUNCTION("JOIN("", "", IFERROR(FILTER(ROW(formalGroupSubgroupParent:formalGroupSubgroupParent), formalGroupSubgroupParent:formalGroupSubgroupParent=D10)))
"),"")</f>
        <v/>
      </c>
    </row>
    <row r="11" ht="22.5" customHeight="1">
      <c r="A11" s="1" t="b">
        <v>1</v>
      </c>
      <c r="B11" s="1">
        <f t="shared" si="1"/>
        <v>1011</v>
      </c>
      <c r="C11" s="4" t="s">
        <v>31</v>
      </c>
      <c r="D11" s="4" t="s">
        <v>39</v>
      </c>
      <c r="E11" s="6" t="str">
        <f>IFERROR(__xludf.DUMMYFUNCTION("JOIN("", "", IFERROR(FILTER(ROW(talentGroupFormal:talentGroupFormal), talentGroupFormal:talentGroupFormal=D11, talentIndex:talentIndex=TRUE)))"),"100, 101, 102, 103")</f>
        <v>100, 101, 102, 103</v>
      </c>
      <c r="F11" s="1" t="b">
        <v>1</v>
      </c>
      <c r="G11" s="9" t="s">
        <v>33</v>
      </c>
      <c r="H11" s="8" t="str">
        <f>IFERROR(__xludf.DUMMYFUNCTION("JOIN("", "", IFERROR(FILTER(ROW(formalGroupSubgroupParent:formalGroupSubgroupParent), formalGroupSubgroupParent:formalGroupSubgroupParent=D11)))
"),"")</f>
        <v/>
      </c>
    </row>
    <row r="12" ht="22.5" customHeight="1">
      <c r="A12" s="1" t="b">
        <v>1</v>
      </c>
      <c r="B12" s="1">
        <f t="shared" si="1"/>
        <v>1012</v>
      </c>
      <c r="C12" s="4" t="s">
        <v>31</v>
      </c>
      <c r="D12" s="4" t="s">
        <v>40</v>
      </c>
      <c r="E12" s="6" t="str">
        <f>IFERROR(__xludf.DUMMYFUNCTION("JOIN("", "", IFERROR(FILTER(ROW(talentGroupFormal:talentGroupFormal), talentGroupFormal:talentGroupFormal=D12, talentIndex:talentIndex=TRUE)))"),"111")</f>
        <v>111</v>
      </c>
      <c r="F12" s="1" t="b">
        <v>1</v>
      </c>
      <c r="G12" s="9" t="s">
        <v>33</v>
      </c>
      <c r="H12" s="8" t="str">
        <f>IFERROR(__xludf.DUMMYFUNCTION("JOIN("", "", IFERROR(FILTER(ROW(formalGroupSubgroupParent:formalGroupSubgroupParent), formalGroupSubgroupParent:formalGroupSubgroupParent=D12)))
"),"")</f>
        <v/>
      </c>
    </row>
    <row r="13" ht="22.5" customHeight="1">
      <c r="A13" s="1" t="b">
        <v>1</v>
      </c>
      <c r="B13" s="1">
        <f t="shared" si="1"/>
        <v>1013</v>
      </c>
      <c r="C13" s="4" t="s">
        <v>41</v>
      </c>
      <c r="D13" s="4" t="s">
        <v>42</v>
      </c>
      <c r="E13" s="6" t="str">
        <f>IFERROR(__xludf.DUMMYFUNCTION("JOIN("", "", IFERROR(FILTER(ROW(talentGroupFormal:talentGroupFormal), talentGroupFormal:talentGroupFormal=D13, talentIndex:talentIndex=TRUE)))"),"88, 89, 90, 91")</f>
        <v>88, 89, 90, 91</v>
      </c>
      <c r="F13" s="1" t="b">
        <v>0</v>
      </c>
      <c r="G13" s="7"/>
      <c r="H13" s="8" t="str">
        <f>IFERROR(__xludf.DUMMYFUNCTION("JOIN("", "", IFERROR(FILTER(ROW(formalGroupSubgroupParent:formalGroupSubgroupParent), formalGroupSubgroupParent:formalGroupSubgroupParent=D13)))
"),"")</f>
        <v/>
      </c>
    </row>
    <row r="14" ht="22.5" customHeight="1">
      <c r="A14" s="1" t="b">
        <v>1</v>
      </c>
      <c r="B14" s="1">
        <f t="shared" si="1"/>
        <v>1014</v>
      </c>
      <c r="C14" s="4" t="s">
        <v>43</v>
      </c>
      <c r="D14" s="4" t="s">
        <v>44</v>
      </c>
      <c r="E14" s="6" t="str">
        <f>IFERROR(__xludf.DUMMYFUNCTION("JOIN("", "", IFERROR(FILTER(ROW(talentGroupFormal:talentGroupFormal), talentGroupFormal:talentGroupFormal=D14, talentIndex:talentIndex=TRUE)))"),"114, 115, 116")</f>
        <v>114, 115, 116</v>
      </c>
      <c r="F14" s="1" t="b">
        <v>0</v>
      </c>
      <c r="G14" s="7"/>
      <c r="H14" s="8" t="str">
        <f>IFERROR(__xludf.DUMMYFUNCTION("JOIN("", "", IFERROR(FILTER(ROW(formalGroupSubgroupParent:formalGroupSubgroupParent), formalGroupSubgroupParent:formalGroupSubgroupParent=D14)))
"),"")</f>
        <v/>
      </c>
    </row>
    <row r="15" ht="22.5" customHeight="1">
      <c r="A15" s="1" t="b">
        <v>1</v>
      </c>
      <c r="B15" s="1">
        <f t="shared" si="1"/>
        <v>1015</v>
      </c>
      <c r="C15" s="4" t="s">
        <v>45</v>
      </c>
      <c r="D15" s="4" t="s">
        <v>46</v>
      </c>
      <c r="E15" s="6" t="str">
        <f>IFERROR(__xludf.DUMMYFUNCTION("JOIN("", "", IFERROR(FILTER(ROW(talentGroupFormal:talentGroupFormal), talentGroupFormal:talentGroupFormal=D15, talentIndex:talentIndex=TRUE)))"),"124, 125, 126, 127")</f>
        <v>124, 125, 126, 127</v>
      </c>
      <c r="F15" s="1" t="b">
        <v>0</v>
      </c>
      <c r="G15" s="7"/>
      <c r="H15" s="8" t="str">
        <f>IFERROR(__xludf.DUMMYFUNCTION("JOIN("", "", IFERROR(FILTER(ROW(formalGroupSubgroupParent:formalGroupSubgroupParent), formalGroupSubgroupParent:formalGroupSubgroupParent=D15)))
"),"")</f>
        <v/>
      </c>
    </row>
    <row r="16" ht="22.5" customHeight="1">
      <c r="A16" s="1" t="b">
        <v>1</v>
      </c>
      <c r="B16" s="1">
        <f t="shared" si="1"/>
        <v>1016</v>
      </c>
      <c r="C16" s="4" t="s">
        <v>47</v>
      </c>
      <c r="D16" s="4" t="s">
        <v>48</v>
      </c>
      <c r="E16" s="6" t="str">
        <f>IFERROR(__xludf.DUMMYFUNCTION("JOIN("", "", IFERROR(FILTER(ROW(talentGroupFormal:talentGroupFormal), talentGroupFormal:talentGroupFormal=D16, talentIndex:talentIndex=TRUE)))"),"17")</f>
        <v>17</v>
      </c>
      <c r="F16" s="1" t="b">
        <v>0</v>
      </c>
      <c r="G16" s="7"/>
      <c r="H16" s="8" t="str">
        <f>IFERROR(__xludf.DUMMYFUNCTION("JOIN("", "", IFERROR(FILTER(ROW(formalGroupSubgroupParent:formalGroupSubgroupParent), formalGroupSubgroupParent:formalGroupSubgroupParent=D16)))
"),"")</f>
        <v/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22.5" customHeight="1">
      <c r="A17" s="1" t="b">
        <v>1</v>
      </c>
      <c r="B17" s="1">
        <f t="shared" si="1"/>
        <v>1017</v>
      </c>
      <c r="C17" s="4" t="s">
        <v>49</v>
      </c>
      <c r="D17" s="4" t="s">
        <v>50</v>
      </c>
      <c r="E17" s="6" t="str">
        <f>IFERROR(__xludf.DUMMYFUNCTION("JOIN("", "", IFERROR(FILTER(ROW(talentGroupFormal:talentGroupFormal), talentGroupFormal:talentGroupFormal=D17, talentIndex:talentIndex=TRUE)))"),"113")</f>
        <v>113</v>
      </c>
      <c r="F17" s="1" t="b">
        <v>0</v>
      </c>
      <c r="G17" s="7"/>
      <c r="H17" s="8" t="str">
        <f>IFERROR(__xludf.DUMMYFUNCTION("JOIN("", "", IFERROR(FILTER(ROW(formalGroupSubgroupParent:formalGroupSubgroupParent), formalGroupSubgroupParent:formalGroupSubgroupParent=D17)))
"),"")</f>
        <v/>
      </c>
    </row>
    <row r="18" ht="22.5" customHeight="1">
      <c r="A18" s="1" t="b">
        <v>0</v>
      </c>
      <c r="B18" s="1">
        <f t="shared" si="1"/>
        <v>1018</v>
      </c>
      <c r="C18" s="4" t="s">
        <v>51</v>
      </c>
      <c r="D18" s="4" t="s">
        <v>52</v>
      </c>
      <c r="E18" s="6" t="str">
        <f>IFERROR(__xludf.DUMMYFUNCTION("JOIN("", "", IFERROR(FILTER(ROW(talentGroupFormal:talentGroupFormal), talentGroupFormal:talentGroupFormal=D18, talentIndex:talentIndex=TRUE)))"),"")</f>
        <v/>
      </c>
      <c r="F18" s="1" t="b">
        <v>0</v>
      </c>
      <c r="G18" s="7"/>
      <c r="H18" s="8" t="str">
        <f>IFERROR(__xludf.DUMMYFUNCTION("JOIN("", "", IFERROR(FILTER(ROW(formalGroupSubgroupParent:formalGroupSubgroupParent), formalGroupSubgroupParent:formalGroupSubgroupParent=D18)))
"),"")</f>
        <v/>
      </c>
    </row>
    <row r="19" ht="22.5" customHeight="1">
      <c r="A19" s="1" t="b">
        <v>1</v>
      </c>
      <c r="B19" s="1">
        <f t="shared" si="1"/>
        <v>1019</v>
      </c>
      <c r="C19" s="4" t="s">
        <v>53</v>
      </c>
      <c r="D19" s="4" t="s">
        <v>54</v>
      </c>
      <c r="E19" s="6" t="str">
        <f>IFERROR(__xludf.DUMMYFUNCTION("JOIN("", "", IFERROR(FILTER(ROW(talentGroupFormal:talentGroupFormal), talentGroupFormal:talentGroupFormal=D19, talentIndex:talentIndex=TRUE)))"),"117, 118, 119, 120")</f>
        <v>117, 118, 119, 120</v>
      </c>
      <c r="F19" s="1" t="b">
        <v>0</v>
      </c>
      <c r="G19" s="7"/>
      <c r="H19" s="8" t="str">
        <f>IFERROR(__xludf.DUMMYFUNCTION("JOIN("", "", IFERROR(FILTER(ROW(formalGroupSubgroupParent:formalGroupSubgroupParent), formalGroupSubgroupParent:formalGroupSubgroupParent=D19)))
"),"")</f>
        <v/>
      </c>
    </row>
    <row r="29">
      <c r="G29" s="10"/>
    </row>
  </sheetData>
  <dataValidations>
    <dataValidation type="list" allowBlank="1" sqref="G2:G19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7.13"/>
    <col customWidth="1" min="3" max="3" width="26.63"/>
    <col customWidth="1" min="4" max="4" width="26.13"/>
    <col customWidth="1" min="5" max="5" width="34.75"/>
    <col customWidth="1" min="6" max="6" width="41.38"/>
    <col customWidth="1" min="7" max="7" width="32.88"/>
    <col customWidth="1" min="8" max="8" width="39.88"/>
    <col customWidth="1" min="10" max="10" width="25.88"/>
  </cols>
  <sheetData>
    <row r="1" ht="22.5" customHeight="1">
      <c r="A1" s="1" t="s">
        <v>0</v>
      </c>
      <c r="B1" s="2" t="s">
        <v>1</v>
      </c>
      <c r="C1" s="1" t="s">
        <v>16</v>
      </c>
      <c r="D1" s="1" t="s">
        <v>2</v>
      </c>
      <c r="E1" s="2" t="s">
        <v>3</v>
      </c>
      <c r="F1" s="1" t="s">
        <v>20</v>
      </c>
      <c r="G1" s="1" t="s">
        <v>21</v>
      </c>
      <c r="H1" s="1" t="s">
        <v>22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2.5" customHeight="1">
      <c r="A2" s="1" t="b">
        <v>1</v>
      </c>
      <c r="B2" s="1">
        <f t="shared" ref="B2:B8" si="1">ROW(B2)+2000</f>
        <v>2002</v>
      </c>
      <c r="C2" s="4" t="s">
        <v>55</v>
      </c>
      <c r="D2" s="4" t="s">
        <v>56</v>
      </c>
      <c r="E2" s="5" t="str">
        <f>IFERROR(__xludf.DUMMYFUNCTION("JOIN("", "", IFERROR(FILTER(ROW(talentGroupInformal:talentGroupInformal), ISNUMBER(SEARCH(D2, talentGroupInformal:talentGroupInformal)), talentIndex:talentIndex=TRUE)))"),"2, 33, 54, 61")</f>
        <v>2, 33, 54, 61</v>
      </c>
      <c r="F2" s="4" t="s">
        <v>26</v>
      </c>
      <c r="G2" s="4" t="s">
        <v>27</v>
      </c>
      <c r="H2" s="4" t="s">
        <v>28</v>
      </c>
    </row>
    <row r="3" ht="22.5" customHeight="1">
      <c r="A3" s="1" t="b">
        <v>1</v>
      </c>
      <c r="B3" s="1">
        <f t="shared" si="1"/>
        <v>2003</v>
      </c>
      <c r="C3" s="4" t="s">
        <v>57</v>
      </c>
      <c r="D3" s="4" t="s">
        <v>58</v>
      </c>
      <c r="E3" s="5" t="str">
        <f>IFERROR(__xludf.DUMMYFUNCTION("JOIN("", "", IFERROR(FILTER(ROW(talentGroupInformal:talentGroupInformal), ISNUMBER(SEARCH(D3, talentGroupInformal:talentGroupInformal)), talentIndex:talentIndex=TRUE)))"),"18, 19, 20, 21, 22, 23")</f>
        <v>18, 19, 20, 21, 22, 23</v>
      </c>
      <c r="J3" s="11"/>
    </row>
    <row r="4" ht="22.5" customHeight="1">
      <c r="A4" s="1" t="b">
        <v>1</v>
      </c>
      <c r="B4" s="1">
        <f t="shared" si="1"/>
        <v>2004</v>
      </c>
      <c r="C4" s="4" t="s">
        <v>59</v>
      </c>
      <c r="D4" s="4" t="s">
        <v>60</v>
      </c>
      <c r="E4" s="5" t="str">
        <f>IFERROR(__xludf.DUMMYFUNCTION("JOIN("", "", IFERROR(FILTER(ROW(talentGroupInformal:talentGroupInformal), ISNUMBER(SEARCH(D4, talentGroupInformal:talentGroupInformal)), talentIndex:talentIndex=TRUE)))"),"2, 3, 4, 5, 6, 7, 8, 9, 10, 11, 12, 13, 14, 17, 121, 122, 123, 124, 125, 126, 127, 128, 129, 130, 131")</f>
        <v>2, 3, 4, 5, 6, 7, 8, 9, 10, 11, 12, 13, 14, 17, 121, 122, 123, 124, 125, 126, 127, 128, 129, 130, 131</v>
      </c>
      <c r="J4" s="11"/>
    </row>
    <row r="5" ht="22.5" customHeight="1">
      <c r="A5" s="1" t="b">
        <v>1</v>
      </c>
      <c r="B5" s="1">
        <f t="shared" si="1"/>
        <v>2005</v>
      </c>
      <c r="C5" s="4" t="s">
        <v>61</v>
      </c>
      <c r="D5" s="4" t="s">
        <v>62</v>
      </c>
      <c r="E5" s="5" t="str">
        <f>IFERROR(__xludf.DUMMYFUNCTION("JOIN("", "", IFERROR(FILTER(ROW(talentGroupInformal:talentGroupInformal), ISNUMBER(SEARCH(D5, talentGroupInformal:talentGroupInformal)), talentIndex:talentIndex=TRUE)))"),"78, 83, 84, 85")</f>
        <v>78, 83, 84, 85</v>
      </c>
      <c r="J5" s="11"/>
    </row>
    <row r="6" ht="22.5" customHeight="1">
      <c r="A6" s="1" t="b">
        <v>1</v>
      </c>
      <c r="B6" s="1">
        <f t="shared" si="1"/>
        <v>2006</v>
      </c>
      <c r="C6" s="4" t="s">
        <v>63</v>
      </c>
      <c r="D6" s="4" t="s">
        <v>64</v>
      </c>
      <c r="E6" s="5" t="str">
        <f>IFERROR(__xludf.DUMMYFUNCTION("JOIN("", "", IFERROR(FILTER(ROW(talentGroupInformal:talentGroupInformal), ISNUMBER(SEARCH(D6, talentGroupInformal:talentGroupInformal)), talentIndex:talentIndex=TRUE)))"),"12, 104, 105, 106, 107, 108, 109, 110, 113")</f>
        <v>12, 104, 105, 106, 107, 108, 109, 110, 113</v>
      </c>
      <c r="J6" s="11"/>
    </row>
    <row r="7" ht="22.5" customHeight="1">
      <c r="A7" s="1" t="b">
        <v>1</v>
      </c>
      <c r="B7" s="1">
        <f t="shared" si="1"/>
        <v>2007</v>
      </c>
      <c r="C7" s="4" t="s">
        <v>65</v>
      </c>
      <c r="D7" s="4" t="s">
        <v>66</v>
      </c>
      <c r="E7" s="5" t="str">
        <f>IFERROR(__xludf.DUMMYFUNCTION("JOIN("", "", IFERROR(FILTER(ROW(talentGroupInformal:talentGroupInformal), ISNUMBER(SEARCH(D7, talentGroupInformal:talentGroupInformal)), talentIndex:talentIndex=TRUE)))"),"2, 3, 4, 5, 6, 7, 8, 9, 10, 11, 12, 13, 14, 17, 18, 19, 20, 21, 22, 23, 24, 25, 30, 33, 34, 35, 38, 40, 41, 43, 45, 46, 47, 48, 49, 50, 51, 54, 56, 57, 58, 60, 61, 64, 65, 67, 69, 71, 72, 73, 74, 88, 89, 90, 91, 114, 115, 116, 117, 118, 119, 120, 121, 122"&amp;", 123, 124, 125, 126, 127, 128, 129, 130, 131")</f>
        <v>2, 3, 4, 5, 6, 7, 8, 9, 10, 11, 12, 13, 14, 17, 18, 19, 20, 21, 22, 23, 24, 25, 30, 33, 34, 35, 38, 40, 41, 43, 45, 46, 47, 48, 49, 50, 51, 54, 56, 57, 58, 60, 61, 64, 65, 67, 69, 71, 72, 73, 74, 88, 89, 90, 91, 114, 115, 116, 117, 118, 119, 120, 121, 122, 123, 124, 125, 126, 127, 128, 129, 130, 131</v>
      </c>
    </row>
    <row r="8" ht="22.5" customHeight="1">
      <c r="A8" s="1" t="b">
        <v>1</v>
      </c>
      <c r="B8" s="1">
        <f t="shared" si="1"/>
        <v>2008</v>
      </c>
      <c r="C8" s="4" t="s">
        <v>67</v>
      </c>
      <c r="D8" s="4" t="s">
        <v>68</v>
      </c>
      <c r="E8" s="5" t="str">
        <f>IFERROR(__xludf.DUMMYFUNCTION("JOIN("", "", IFERROR(FILTER(ROW(talentGroupInformal:talentGroupInformal), ISNUMBER(SEARCH(D8, talentGroupInformal:talentGroupInformal)), talentIndex:talentIndex=TRUE)))"),"8, 13, 50, 78")</f>
        <v>8, 13, 50, 78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75"/>
    <col customWidth="1" min="3" max="3" width="26.25"/>
    <col customWidth="1" min="4" max="4" width="40.63"/>
    <col customWidth="1" min="5" max="5" width="32.63"/>
    <col customWidth="1" min="6" max="6" width="39.13"/>
    <col customWidth="1" min="7" max="7" width="18.5"/>
    <col customWidth="1" min="8" max="8" width="30.75"/>
    <col customWidth="1" min="9" max="9" width="43.88"/>
    <col customWidth="1" min="10" max="10" width="57.75"/>
    <col customWidth="1" min="11" max="11" width="60.2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2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2" t="s">
        <v>74</v>
      </c>
    </row>
    <row r="2" ht="22.5" customHeight="1">
      <c r="A2" s="1" t="b">
        <v>1</v>
      </c>
      <c r="B2" s="1">
        <f t="shared" ref="B2:B131" si="1">ROW(B2)</f>
        <v>2</v>
      </c>
      <c r="C2" s="4" t="s">
        <v>75</v>
      </c>
      <c r="D2" s="12" t="s">
        <v>76</v>
      </c>
      <c r="E2" s="12" t="s">
        <v>77</v>
      </c>
      <c r="F2" s="12" t="s">
        <v>78</v>
      </c>
      <c r="G2" s="9" t="s">
        <v>65</v>
      </c>
      <c r="H2" s="4"/>
      <c r="I2" s="8" t="s">
        <v>79</v>
      </c>
      <c r="J2" s="6" t="s">
        <v>80</v>
      </c>
      <c r="K2" s="6"/>
      <c r="L2" s="6" t="str">
        <f>IFERROR(__xludf.DUMMYFUNCTION("JOIN("", "", IFERROR(FILTER(ROW(talentCollab:talentCollab), ISNUMBER(SEARCH(C2, talentCollab:talentCollab)), talentIndex:talentIndex=TRUE)))"),"")</f>
        <v/>
      </c>
    </row>
    <row r="3" ht="22.5" customHeight="1">
      <c r="A3" s="1" t="b">
        <v>1</v>
      </c>
      <c r="B3" s="1">
        <f t="shared" si="1"/>
        <v>3</v>
      </c>
      <c r="C3" s="4" t="s">
        <v>81</v>
      </c>
      <c r="D3" s="12" t="s">
        <v>82</v>
      </c>
      <c r="E3" s="12" t="s">
        <v>83</v>
      </c>
      <c r="F3" s="12" t="s">
        <v>84</v>
      </c>
      <c r="G3" s="9" t="s">
        <v>65</v>
      </c>
      <c r="H3" s="4"/>
      <c r="I3" s="8" t="s">
        <v>85</v>
      </c>
      <c r="J3" s="6" t="s">
        <v>80</v>
      </c>
      <c r="K3" s="6"/>
      <c r="L3" s="6" t="str">
        <f>IFERROR(__xludf.DUMMYFUNCTION("JOIN("", "", IFERROR(FILTER(ROW(talentCollab:talentCollab), ISNUMBER(SEARCH(C3, talentCollab:talentCollab)), talentIndex:talentIndex=TRUE)))"),"")</f>
        <v/>
      </c>
    </row>
    <row r="4" ht="22.5" customHeight="1">
      <c r="A4" s="1" t="b">
        <v>1</v>
      </c>
      <c r="B4" s="1">
        <f t="shared" si="1"/>
        <v>4</v>
      </c>
      <c r="C4" s="4" t="s">
        <v>86</v>
      </c>
      <c r="D4" s="12" t="s">
        <v>87</v>
      </c>
      <c r="E4" s="12" t="s">
        <v>88</v>
      </c>
      <c r="F4" s="12" t="s">
        <v>89</v>
      </c>
      <c r="G4" s="9" t="s">
        <v>65</v>
      </c>
      <c r="H4" s="4"/>
      <c r="I4" s="8" t="s">
        <v>85</v>
      </c>
      <c r="J4" s="5" t="s">
        <v>90</v>
      </c>
      <c r="K4" s="6"/>
      <c r="L4" s="6" t="str">
        <f>IFERROR(__xludf.DUMMYFUNCTION("JOIN("", "", IFERROR(FILTER(ROW(talentCollab:talentCollab), ISNUMBER(SEARCH(C4, talentCollab:talentCollab)), talentIndex:talentIndex=TRUE)))"),"")</f>
        <v/>
      </c>
    </row>
    <row r="5" ht="22.5" customHeight="1">
      <c r="A5" s="1" t="b">
        <v>1</v>
      </c>
      <c r="B5" s="1">
        <f t="shared" si="1"/>
        <v>5</v>
      </c>
      <c r="C5" s="4" t="s">
        <v>91</v>
      </c>
      <c r="D5" s="12" t="s">
        <v>92</v>
      </c>
      <c r="E5" s="12" t="s">
        <v>93</v>
      </c>
      <c r="F5" s="12" t="s">
        <v>94</v>
      </c>
      <c r="G5" s="9" t="s">
        <v>65</v>
      </c>
      <c r="H5" s="4"/>
      <c r="I5" s="8" t="s">
        <v>85</v>
      </c>
      <c r="J5" s="6" t="s">
        <v>7</v>
      </c>
      <c r="K5" s="6"/>
      <c r="L5" s="6" t="str">
        <f>IFERROR(__xludf.DUMMYFUNCTION("JOIN("", "", IFERROR(FILTER(ROW(talentCollab:talentCollab), ISNUMBER(SEARCH(C5, talentCollab:talentCollab)), talentIndex:talentIndex=TRUE)))"),"")</f>
        <v/>
      </c>
    </row>
    <row r="6" ht="22.5" customHeight="1">
      <c r="A6" s="1" t="b">
        <v>1</v>
      </c>
      <c r="B6" s="1">
        <f t="shared" si="1"/>
        <v>6</v>
      </c>
      <c r="C6" s="4" t="s">
        <v>95</v>
      </c>
      <c r="D6" s="12" t="s">
        <v>96</v>
      </c>
      <c r="E6" s="12" t="s">
        <v>97</v>
      </c>
      <c r="F6" s="12" t="s">
        <v>98</v>
      </c>
      <c r="G6" s="9" t="s">
        <v>65</v>
      </c>
      <c r="H6" s="4"/>
      <c r="I6" s="8" t="s">
        <v>85</v>
      </c>
      <c r="J6" s="6" t="s">
        <v>99</v>
      </c>
      <c r="K6" s="6"/>
      <c r="L6" s="6" t="str">
        <f>IFERROR(__xludf.DUMMYFUNCTION("JOIN("", "", IFERROR(FILTER(ROW(talentCollab:talentCollab), ISNUMBER(SEARCH(C6, talentCollab:talentCollab)), talentIndex:talentIndex=TRUE)))"),"")</f>
        <v/>
      </c>
    </row>
    <row r="7" ht="22.5" customHeight="1">
      <c r="A7" s="1" t="b">
        <v>1</v>
      </c>
      <c r="B7" s="1">
        <f t="shared" si="1"/>
        <v>7</v>
      </c>
      <c r="C7" s="4" t="s">
        <v>100</v>
      </c>
      <c r="D7" s="12" t="s">
        <v>101</v>
      </c>
      <c r="E7" s="12" t="s">
        <v>102</v>
      </c>
      <c r="F7" s="12" t="s">
        <v>103</v>
      </c>
      <c r="G7" s="9" t="s">
        <v>65</v>
      </c>
      <c r="H7" s="4"/>
      <c r="I7" s="8" t="s">
        <v>85</v>
      </c>
      <c r="J7" s="6" t="s">
        <v>7</v>
      </c>
      <c r="K7" s="6"/>
      <c r="L7" s="6" t="str">
        <f>IFERROR(__xludf.DUMMYFUNCTION("JOIN("", "", IFERROR(FILTER(ROW(talentCollab:talentCollab), ISNUMBER(SEARCH(C7, talentCollab:talentCollab)), talentIndex:talentIndex=TRUE)))"),"")</f>
        <v/>
      </c>
    </row>
    <row r="8" ht="22.5" customHeight="1">
      <c r="A8" s="1" t="b">
        <v>1</v>
      </c>
      <c r="B8" s="1">
        <f t="shared" si="1"/>
        <v>8</v>
      </c>
      <c r="C8" s="4" t="s">
        <v>104</v>
      </c>
      <c r="D8" s="12" t="s">
        <v>105</v>
      </c>
      <c r="E8" s="12" t="s">
        <v>106</v>
      </c>
      <c r="F8" s="12" t="s">
        <v>107</v>
      </c>
      <c r="G8" s="9" t="s">
        <v>65</v>
      </c>
      <c r="H8" s="4"/>
      <c r="I8" s="8" t="s">
        <v>108</v>
      </c>
      <c r="J8" s="5" t="s">
        <v>99</v>
      </c>
      <c r="K8" s="6"/>
      <c r="L8" s="6" t="str">
        <f>IFERROR(__xludf.DUMMYFUNCTION("JOIN("", "", IFERROR(FILTER(ROW(talentCollab:talentCollab), ISNUMBER(SEARCH(C8, talentCollab:talentCollab)), talentIndex:talentIndex=TRUE)))"),"")</f>
        <v/>
      </c>
    </row>
    <row r="9" ht="22.5" customHeight="1">
      <c r="A9" s="1" t="b">
        <v>1</v>
      </c>
      <c r="B9" s="1">
        <f t="shared" si="1"/>
        <v>9</v>
      </c>
      <c r="C9" s="4" t="s">
        <v>109</v>
      </c>
      <c r="D9" s="12" t="s">
        <v>110</v>
      </c>
      <c r="E9" s="12" t="s">
        <v>111</v>
      </c>
      <c r="F9" s="12" t="s">
        <v>112</v>
      </c>
      <c r="G9" s="9" t="s">
        <v>65</v>
      </c>
      <c r="H9" s="4"/>
      <c r="I9" s="8" t="s">
        <v>85</v>
      </c>
      <c r="J9" s="6" t="s">
        <v>80</v>
      </c>
      <c r="K9" s="6"/>
      <c r="L9" s="6" t="str">
        <f>IFERROR(__xludf.DUMMYFUNCTION("JOIN("", "", IFERROR(FILTER(ROW(talentCollab:talentCollab), ISNUMBER(SEARCH(C9, talentCollab:talentCollab)), talentIndex:talentIndex=TRUE)))"),"12")</f>
        <v>12</v>
      </c>
    </row>
    <row r="10" ht="22.5" customHeight="1">
      <c r="A10" s="1" t="b">
        <v>1</v>
      </c>
      <c r="B10" s="1">
        <f t="shared" si="1"/>
        <v>10</v>
      </c>
      <c r="C10" s="4" t="s">
        <v>113</v>
      </c>
      <c r="D10" s="12" t="s">
        <v>114</v>
      </c>
      <c r="E10" s="12" t="s">
        <v>115</v>
      </c>
      <c r="F10" s="12" t="s">
        <v>116</v>
      </c>
      <c r="G10" s="9" t="s">
        <v>65</v>
      </c>
      <c r="H10" s="4"/>
      <c r="I10" s="8" t="s">
        <v>85</v>
      </c>
      <c r="J10" s="6" t="s">
        <v>7</v>
      </c>
      <c r="K10" s="6"/>
      <c r="L10" s="6" t="str">
        <f>IFERROR(__xludf.DUMMYFUNCTION("JOIN("", "", IFERROR(FILTER(ROW(talentCollab:talentCollab), ISNUMBER(SEARCH(C10, talentCollab:talentCollab)), talentIndex:talentIndex=TRUE)))"),"")</f>
        <v/>
      </c>
    </row>
    <row r="11" ht="22.5" customHeight="1">
      <c r="A11" s="1" t="b">
        <v>1</v>
      </c>
      <c r="B11" s="1">
        <f t="shared" si="1"/>
        <v>11</v>
      </c>
      <c r="C11" s="4" t="s">
        <v>117</v>
      </c>
      <c r="D11" s="12" t="s">
        <v>118</v>
      </c>
      <c r="E11" s="12" t="s">
        <v>119</v>
      </c>
      <c r="F11" s="12" t="s">
        <v>120</v>
      </c>
      <c r="G11" s="9" t="s">
        <v>65</v>
      </c>
      <c r="H11" s="4"/>
      <c r="I11" s="8" t="s">
        <v>85</v>
      </c>
      <c r="J11" s="6" t="s">
        <v>99</v>
      </c>
      <c r="K11" s="6"/>
      <c r="L11" s="6" t="str">
        <f>IFERROR(__xludf.DUMMYFUNCTION("JOIN("", "", IFERROR(FILTER(ROW(talentCollab:talentCollab), ISNUMBER(SEARCH(C11, talentCollab:talentCollab)), talentIndex:talentIndex=TRUE)))"),"")</f>
        <v/>
      </c>
    </row>
    <row r="12" ht="22.5" customHeight="1">
      <c r="A12" s="1" t="b">
        <v>1</v>
      </c>
      <c r="B12" s="1">
        <f t="shared" si="1"/>
        <v>12</v>
      </c>
      <c r="C12" s="4" t="s">
        <v>121</v>
      </c>
      <c r="D12" s="12" t="s">
        <v>122</v>
      </c>
      <c r="E12" s="13" t="s">
        <v>123</v>
      </c>
      <c r="F12" s="12" t="s">
        <v>124</v>
      </c>
      <c r="G12" s="9" t="s">
        <v>65</v>
      </c>
      <c r="H12" s="4"/>
      <c r="I12" s="8" t="s">
        <v>125</v>
      </c>
      <c r="J12" s="5" t="s">
        <v>126</v>
      </c>
      <c r="K12" s="6" t="s">
        <v>127</v>
      </c>
      <c r="L12" s="6" t="str">
        <f>IFERROR(__xludf.DUMMYFUNCTION("JOIN("", "", IFERROR(FILTER(ROW(talentCollab:talentCollab), ISNUMBER(SEARCH(C12, talentCollab:talentCollab)), talentIndex:talentIndex=TRUE)))"),"")</f>
        <v/>
      </c>
    </row>
    <row r="13" ht="22.5" customHeight="1">
      <c r="A13" s="1" t="b">
        <v>1</v>
      </c>
      <c r="B13" s="1">
        <f t="shared" si="1"/>
        <v>13</v>
      </c>
      <c r="C13" s="4" t="s">
        <v>128</v>
      </c>
      <c r="D13" s="12" t="s">
        <v>129</v>
      </c>
      <c r="E13" s="12" t="s">
        <v>130</v>
      </c>
      <c r="F13" s="12" t="s">
        <v>131</v>
      </c>
      <c r="G13" s="9" t="s">
        <v>65</v>
      </c>
      <c r="H13" s="4"/>
      <c r="I13" s="8" t="s">
        <v>108</v>
      </c>
      <c r="J13" s="6" t="s">
        <v>80</v>
      </c>
      <c r="K13" s="6"/>
      <c r="L13" s="6" t="str">
        <f>IFERROR(__xludf.DUMMYFUNCTION("JOIN("", "", IFERROR(FILTER(ROW(talentCollab:talentCollab), ISNUMBER(SEARCH(C13, talentCollab:talentCollab)), talentIndex:talentIndex=TRUE)))"),"")</f>
        <v/>
      </c>
    </row>
    <row r="14" ht="22.5" customHeight="1">
      <c r="A14" s="1" t="b">
        <v>1</v>
      </c>
      <c r="B14" s="1">
        <f t="shared" si="1"/>
        <v>14</v>
      </c>
      <c r="C14" s="4" t="s">
        <v>132</v>
      </c>
      <c r="D14" s="12" t="s">
        <v>133</v>
      </c>
      <c r="E14" s="12" t="s">
        <v>134</v>
      </c>
      <c r="F14" s="12" t="s">
        <v>135</v>
      </c>
      <c r="G14" s="9" t="s">
        <v>65</v>
      </c>
      <c r="H14" s="4"/>
      <c r="I14" s="8" t="s">
        <v>85</v>
      </c>
      <c r="J14" s="6" t="s">
        <v>136</v>
      </c>
      <c r="K14" s="6"/>
      <c r="L14" s="6" t="str">
        <f>IFERROR(__xludf.DUMMYFUNCTION("JOIN("", "", IFERROR(FILTER(ROW(talentCollab:talentCollab), ISNUMBER(SEARCH(C14, talentCollab:talentCollab)), talentIndex:talentIndex=TRUE)))"),"")</f>
        <v/>
      </c>
    </row>
    <row r="15" ht="22.5" customHeight="1">
      <c r="A15" s="1" t="b">
        <v>0</v>
      </c>
      <c r="B15" s="1">
        <f t="shared" si="1"/>
        <v>15</v>
      </c>
      <c r="C15" s="4" t="s">
        <v>137</v>
      </c>
      <c r="D15" s="12" t="s">
        <v>138</v>
      </c>
      <c r="E15" s="12" t="s">
        <v>139</v>
      </c>
      <c r="F15" s="12" t="s">
        <v>140</v>
      </c>
      <c r="G15" s="9" t="s">
        <v>65</v>
      </c>
      <c r="H15" s="4"/>
      <c r="I15" s="8" t="s">
        <v>85</v>
      </c>
      <c r="J15" s="5" t="s">
        <v>90</v>
      </c>
      <c r="K15" s="6"/>
      <c r="L15" s="6" t="str">
        <f>IFERROR(__xludf.DUMMYFUNCTION("JOIN("", "", IFERROR(FILTER(ROW(talentCollab:talentCollab), ISNUMBER(SEARCH(C15, talentCollab:talentCollab)), talentIndex:talentIndex=TRUE)))"),"")</f>
        <v/>
      </c>
    </row>
    <row r="16" ht="22.5" customHeight="1">
      <c r="A16" s="1" t="b">
        <v>0</v>
      </c>
      <c r="B16" s="1">
        <f t="shared" si="1"/>
        <v>16</v>
      </c>
      <c r="C16" s="4" t="s">
        <v>141</v>
      </c>
      <c r="D16" s="12" t="s">
        <v>142</v>
      </c>
      <c r="E16" s="12" t="s">
        <v>143</v>
      </c>
      <c r="F16" s="4" t="s">
        <v>144</v>
      </c>
      <c r="G16" s="9" t="s">
        <v>65</v>
      </c>
      <c r="H16" s="4"/>
      <c r="I16" s="8" t="s">
        <v>85</v>
      </c>
      <c r="J16" s="6" t="s">
        <v>90</v>
      </c>
      <c r="K16" s="6"/>
      <c r="L16" s="6" t="str">
        <f>IFERROR(__xludf.DUMMYFUNCTION("JOIN("", "", IFERROR(FILTER(ROW(talentCollab:talentCollab), ISNUMBER(SEARCH(C16, talentCollab:talentCollab)), talentIndex:talentIndex=TRUE)))"),"")</f>
        <v/>
      </c>
    </row>
    <row r="17" ht="22.5" customHeight="1">
      <c r="A17" s="14" t="b">
        <v>1</v>
      </c>
      <c r="B17" s="14">
        <f t="shared" si="1"/>
        <v>17</v>
      </c>
      <c r="C17" s="15" t="s">
        <v>145</v>
      </c>
      <c r="D17" s="16" t="s">
        <v>146</v>
      </c>
      <c r="E17" s="16" t="s">
        <v>147</v>
      </c>
      <c r="F17" s="16" t="s">
        <v>148</v>
      </c>
      <c r="G17" s="17" t="s">
        <v>47</v>
      </c>
      <c r="H17" s="15" t="s">
        <v>48</v>
      </c>
      <c r="I17" s="18" t="s">
        <v>85</v>
      </c>
      <c r="J17" s="19" t="s">
        <v>99</v>
      </c>
      <c r="K17" s="20"/>
      <c r="L17" s="20" t="str">
        <f>IFERROR(__xludf.DUMMYFUNCTION("JOIN("", "", IFERROR(FILTER(ROW(talentCollab:talentCollab), ISNUMBER(SEARCH(C17, talentCollab:talentCollab)), talentIndex:talentIndex=TRUE)))"),"")</f>
        <v/>
      </c>
    </row>
    <row r="18" ht="22.5" customHeight="1">
      <c r="A18" s="1" t="b">
        <v>1</v>
      </c>
      <c r="B18" s="1">
        <f t="shared" si="1"/>
        <v>18</v>
      </c>
      <c r="C18" s="4" t="s">
        <v>149</v>
      </c>
      <c r="D18" s="12" t="s">
        <v>150</v>
      </c>
      <c r="E18" s="12" t="s">
        <v>151</v>
      </c>
      <c r="F18" s="12" t="s">
        <v>152</v>
      </c>
      <c r="G18" s="9" t="s">
        <v>65</v>
      </c>
      <c r="H18" s="4"/>
      <c r="I18" s="8" t="s">
        <v>153</v>
      </c>
      <c r="J18" s="6" t="s">
        <v>90</v>
      </c>
      <c r="K18" s="6"/>
      <c r="L18" s="6" t="str">
        <f>IFERROR(__xludf.DUMMYFUNCTION("JOIN("", "", IFERROR(FILTER(ROW(talentCollab:talentCollab), ISNUMBER(SEARCH(C18, talentCollab:talentCollab)), talentIndex:talentIndex=TRUE)))"),"12")</f>
        <v>12</v>
      </c>
    </row>
    <row r="19" ht="22.5" customHeight="1">
      <c r="A19" s="1" t="b">
        <v>1</v>
      </c>
      <c r="B19" s="1">
        <f t="shared" si="1"/>
        <v>19</v>
      </c>
      <c r="C19" s="4" t="s">
        <v>154</v>
      </c>
      <c r="D19" s="12" t="s">
        <v>155</v>
      </c>
      <c r="E19" s="12" t="s">
        <v>156</v>
      </c>
      <c r="F19" s="12" t="s">
        <v>157</v>
      </c>
      <c r="G19" s="9" t="s">
        <v>65</v>
      </c>
      <c r="H19" s="4"/>
      <c r="I19" s="8" t="s">
        <v>153</v>
      </c>
      <c r="J19" s="6" t="s">
        <v>80</v>
      </c>
      <c r="K19" s="6"/>
      <c r="L19" s="6" t="str">
        <f>IFERROR(__xludf.DUMMYFUNCTION("JOIN("", "", IFERROR(FILTER(ROW(talentCollab:talentCollab), ISNUMBER(SEARCH(C19, talentCollab:talentCollab)), talentIndex:talentIndex=TRUE)))"),"")</f>
        <v/>
      </c>
    </row>
    <row r="20" ht="22.5" customHeight="1">
      <c r="A20" s="1" t="b">
        <v>1</v>
      </c>
      <c r="B20" s="1">
        <f t="shared" si="1"/>
        <v>20</v>
      </c>
      <c r="C20" s="4" t="s">
        <v>158</v>
      </c>
      <c r="D20" s="12" t="s">
        <v>159</v>
      </c>
      <c r="E20" s="12" t="s">
        <v>160</v>
      </c>
      <c r="F20" s="12" t="s">
        <v>161</v>
      </c>
      <c r="G20" s="9" t="s">
        <v>65</v>
      </c>
      <c r="H20" s="4"/>
      <c r="I20" s="8" t="s">
        <v>153</v>
      </c>
      <c r="J20" s="6" t="s">
        <v>7</v>
      </c>
      <c r="K20" s="6"/>
      <c r="L20" s="6" t="str">
        <f>IFERROR(__xludf.DUMMYFUNCTION("JOIN("", "", IFERROR(FILTER(ROW(talentCollab:talentCollab), ISNUMBER(SEARCH(C20, talentCollab:talentCollab)), talentIndex:talentIndex=TRUE)))"),"")</f>
        <v/>
      </c>
    </row>
    <row r="21" ht="22.5" customHeight="1">
      <c r="A21" s="1" t="b">
        <v>1</v>
      </c>
      <c r="B21" s="1">
        <f t="shared" si="1"/>
        <v>21</v>
      </c>
      <c r="C21" s="4" t="s">
        <v>162</v>
      </c>
      <c r="D21" s="12" t="s">
        <v>163</v>
      </c>
      <c r="E21" s="12" t="s">
        <v>164</v>
      </c>
      <c r="F21" s="12" t="s">
        <v>165</v>
      </c>
      <c r="G21" s="9" t="s">
        <v>65</v>
      </c>
      <c r="H21" s="4"/>
      <c r="I21" s="8" t="s">
        <v>153</v>
      </c>
      <c r="J21" s="6" t="s">
        <v>80</v>
      </c>
      <c r="K21" s="6"/>
      <c r="L21" s="6" t="str">
        <f>IFERROR(__xludf.DUMMYFUNCTION("JOIN("", "", IFERROR(FILTER(ROW(talentCollab:talentCollab), ISNUMBER(SEARCH(C21, talentCollab:talentCollab)), talentIndex:talentIndex=TRUE)))"),"")</f>
        <v/>
      </c>
    </row>
    <row r="22" ht="22.5" customHeight="1">
      <c r="A22" s="1" t="b">
        <v>1</v>
      </c>
      <c r="B22" s="1">
        <f t="shared" si="1"/>
        <v>22</v>
      </c>
      <c r="C22" s="4" t="s">
        <v>166</v>
      </c>
      <c r="D22" s="12" t="s">
        <v>167</v>
      </c>
      <c r="E22" s="12" t="s">
        <v>168</v>
      </c>
      <c r="F22" s="12" t="s">
        <v>169</v>
      </c>
      <c r="G22" s="9" t="s">
        <v>65</v>
      </c>
      <c r="H22" s="4"/>
      <c r="I22" s="8" t="s">
        <v>153</v>
      </c>
      <c r="J22" s="6" t="s">
        <v>7</v>
      </c>
      <c r="K22" s="6"/>
      <c r="L22" s="6" t="str">
        <f>IFERROR(__xludf.DUMMYFUNCTION("JOIN("", "", IFERROR(FILTER(ROW(talentCollab:talentCollab), ISNUMBER(SEARCH(C22, talentCollab:talentCollab)), talentIndex:talentIndex=TRUE)))"),"")</f>
        <v/>
      </c>
    </row>
    <row r="23" ht="22.5" customHeight="1">
      <c r="A23" s="14" t="b">
        <v>1</v>
      </c>
      <c r="B23" s="14">
        <f t="shared" si="1"/>
        <v>23</v>
      </c>
      <c r="C23" s="15" t="s">
        <v>170</v>
      </c>
      <c r="D23" s="16" t="s">
        <v>171</v>
      </c>
      <c r="E23" s="16" t="s">
        <v>172</v>
      </c>
      <c r="F23" s="16" t="s">
        <v>173</v>
      </c>
      <c r="G23" s="17" t="s">
        <v>65</v>
      </c>
      <c r="H23" s="15"/>
      <c r="I23" s="18" t="s">
        <v>153</v>
      </c>
      <c r="J23" s="20" t="s">
        <v>80</v>
      </c>
      <c r="K23" s="20"/>
      <c r="L23" s="20" t="str">
        <f>IFERROR(__xludf.DUMMYFUNCTION("JOIN("", "", IFERROR(FILTER(ROW(talentCollab:talentCollab), ISNUMBER(SEARCH(C23, talentCollab:talentCollab)), talentIndex:talentIndex=TRUE)))"),"")</f>
        <v/>
      </c>
    </row>
    <row r="24" ht="22.5" customHeight="1">
      <c r="A24" s="1" t="b">
        <v>1</v>
      </c>
      <c r="B24" s="1">
        <f t="shared" si="1"/>
        <v>24</v>
      </c>
      <c r="C24" s="4" t="s">
        <v>174</v>
      </c>
      <c r="D24" s="12" t="s">
        <v>175</v>
      </c>
      <c r="E24" s="12" t="s">
        <v>176</v>
      </c>
      <c r="F24" s="12" t="s">
        <v>177</v>
      </c>
      <c r="G24" s="9" t="s">
        <v>65</v>
      </c>
      <c r="H24" s="4"/>
      <c r="I24" s="8" t="s">
        <v>66</v>
      </c>
      <c r="J24" s="6" t="s">
        <v>178</v>
      </c>
      <c r="K24" s="6"/>
      <c r="L24" s="6" t="str">
        <f>IFERROR(__xludf.DUMMYFUNCTION("JOIN("", "", IFERROR(FILTER(ROW(talentCollab:talentCollab), ISNUMBER(SEARCH(C24, talentCollab:talentCollab)), talentIndex:talentIndex=TRUE)))"),"12")</f>
        <v>12</v>
      </c>
    </row>
    <row r="25" ht="22.5" customHeight="1">
      <c r="A25" s="1" t="b">
        <v>1</v>
      </c>
      <c r="B25" s="1">
        <f t="shared" si="1"/>
        <v>25</v>
      </c>
      <c r="C25" s="4" t="s">
        <v>179</v>
      </c>
      <c r="D25" s="12" t="s">
        <v>180</v>
      </c>
      <c r="E25" s="12" t="s">
        <v>181</v>
      </c>
      <c r="F25" s="12" t="s">
        <v>182</v>
      </c>
      <c r="G25" s="9" t="s">
        <v>65</v>
      </c>
      <c r="H25" s="4"/>
      <c r="I25" s="8" t="s">
        <v>66</v>
      </c>
      <c r="J25" s="6" t="s">
        <v>183</v>
      </c>
      <c r="K25" s="6"/>
      <c r="L25" s="6" t="str">
        <f>IFERROR(__xludf.DUMMYFUNCTION("JOIN("", "", IFERROR(FILTER(ROW(talentCollab:talentCollab), ISNUMBER(SEARCH(C25, talentCollab:talentCollab)), talentIndex:talentIndex=TRUE)))"),"")</f>
        <v/>
      </c>
    </row>
    <row r="26" ht="22.5" customHeight="1">
      <c r="A26" s="1" t="b">
        <v>0</v>
      </c>
      <c r="B26" s="1">
        <f t="shared" si="1"/>
        <v>26</v>
      </c>
      <c r="C26" s="4" t="s">
        <v>184</v>
      </c>
      <c r="D26" s="4"/>
      <c r="E26" s="12" t="s">
        <v>185</v>
      </c>
      <c r="F26" s="12" t="s">
        <v>186</v>
      </c>
      <c r="G26" s="9" t="s">
        <v>65</v>
      </c>
      <c r="H26" s="4"/>
      <c r="I26" s="8" t="s">
        <v>66</v>
      </c>
      <c r="J26" s="6" t="s">
        <v>7</v>
      </c>
      <c r="K26" s="6"/>
      <c r="L26" s="6" t="str">
        <f>IFERROR(__xludf.DUMMYFUNCTION("JOIN("", "", IFERROR(FILTER(ROW(talentCollab:talentCollab), ISNUMBER(SEARCH(C26, talentCollab:talentCollab)), talentIndex:talentIndex=TRUE)))"),"")</f>
        <v/>
      </c>
    </row>
    <row r="27" ht="22.5" customHeight="1">
      <c r="A27" s="1" t="b">
        <v>0</v>
      </c>
      <c r="B27" s="1">
        <f t="shared" si="1"/>
        <v>27</v>
      </c>
      <c r="C27" s="4" t="s">
        <v>187</v>
      </c>
      <c r="D27" s="12" t="s">
        <v>188</v>
      </c>
      <c r="E27" s="12" t="s">
        <v>189</v>
      </c>
      <c r="F27" s="12" t="s">
        <v>190</v>
      </c>
      <c r="G27" s="9" t="s">
        <v>65</v>
      </c>
      <c r="H27" s="4"/>
      <c r="I27" s="8" t="s">
        <v>66</v>
      </c>
      <c r="J27" s="6" t="s">
        <v>80</v>
      </c>
      <c r="K27" s="6"/>
      <c r="L27" s="6" t="str">
        <f>IFERROR(__xludf.DUMMYFUNCTION("JOIN("", "", IFERROR(FILTER(ROW(talentCollab:talentCollab), ISNUMBER(SEARCH(C27, talentCollab:talentCollab)), talentIndex:talentIndex=TRUE)))"),"")</f>
        <v/>
      </c>
    </row>
    <row r="28" ht="22.5" customHeight="1">
      <c r="A28" s="1" t="b">
        <v>0</v>
      </c>
      <c r="B28" s="1">
        <f t="shared" si="1"/>
        <v>28</v>
      </c>
      <c r="C28" s="4" t="s">
        <v>191</v>
      </c>
      <c r="D28" s="12" t="s">
        <v>192</v>
      </c>
      <c r="E28" s="12" t="s">
        <v>193</v>
      </c>
      <c r="F28" s="12" t="s">
        <v>194</v>
      </c>
      <c r="G28" s="9" t="s">
        <v>65</v>
      </c>
      <c r="H28" s="4"/>
      <c r="I28" s="8" t="s">
        <v>66</v>
      </c>
      <c r="J28" s="6" t="s">
        <v>195</v>
      </c>
      <c r="K28" s="6"/>
      <c r="L28" s="6" t="str">
        <f>IFERROR(__xludf.DUMMYFUNCTION("JOIN("", "", IFERROR(FILTER(ROW(talentCollab:talentCollab), ISNUMBER(SEARCH(C28, talentCollab:talentCollab)), talentIndex:talentIndex=TRUE)))"),"")</f>
        <v/>
      </c>
    </row>
    <row r="29" ht="22.5" customHeight="1">
      <c r="A29" s="1" t="b">
        <v>0</v>
      </c>
      <c r="B29" s="1">
        <f t="shared" si="1"/>
        <v>29</v>
      </c>
      <c r="C29" s="4" t="s">
        <v>196</v>
      </c>
      <c r="D29" s="12" t="s">
        <v>197</v>
      </c>
      <c r="E29" s="12" t="s">
        <v>198</v>
      </c>
      <c r="F29" s="12" t="s">
        <v>199</v>
      </c>
      <c r="G29" s="9" t="s">
        <v>65</v>
      </c>
      <c r="H29" s="4"/>
      <c r="I29" s="8" t="s">
        <v>66</v>
      </c>
      <c r="J29" s="6" t="s">
        <v>99</v>
      </c>
      <c r="K29" s="6"/>
      <c r="L29" s="6" t="str">
        <f>IFERROR(__xludf.DUMMYFUNCTION("JOIN("", "", IFERROR(FILTER(ROW(talentCollab:talentCollab), ISNUMBER(SEARCH(C29, talentCollab:talentCollab)), talentIndex:talentIndex=TRUE)))"),"")</f>
        <v/>
      </c>
    </row>
    <row r="30" ht="22.5" customHeight="1">
      <c r="A30" s="1" t="b">
        <v>1</v>
      </c>
      <c r="B30" s="1">
        <f t="shared" si="1"/>
        <v>30</v>
      </c>
      <c r="C30" s="4" t="s">
        <v>200</v>
      </c>
      <c r="D30" s="12" t="s">
        <v>201</v>
      </c>
      <c r="E30" s="12" t="s">
        <v>202</v>
      </c>
      <c r="F30" s="12" t="s">
        <v>203</v>
      </c>
      <c r="G30" s="9" t="s">
        <v>65</v>
      </c>
      <c r="H30" s="4"/>
      <c r="I30" s="8" t="s">
        <v>66</v>
      </c>
      <c r="J30" s="6" t="s">
        <v>204</v>
      </c>
      <c r="K30" s="6"/>
      <c r="L30" s="6" t="str">
        <f>IFERROR(__xludf.DUMMYFUNCTION("JOIN("", "", IFERROR(FILTER(ROW(talentCollab:talentCollab), ISNUMBER(SEARCH(C30, talentCollab:talentCollab)), talentIndex:talentIndex=TRUE)))"),"")</f>
        <v/>
      </c>
    </row>
    <row r="31" ht="22.5" customHeight="1">
      <c r="A31" s="1" t="b">
        <v>0</v>
      </c>
      <c r="B31" s="1">
        <f t="shared" si="1"/>
        <v>31</v>
      </c>
      <c r="C31" s="4" t="s">
        <v>205</v>
      </c>
      <c r="D31" s="12" t="s">
        <v>206</v>
      </c>
      <c r="E31" s="12" t="s">
        <v>207</v>
      </c>
      <c r="F31" s="12" t="s">
        <v>208</v>
      </c>
      <c r="G31" s="9" t="s">
        <v>65</v>
      </c>
      <c r="H31" s="4"/>
      <c r="I31" s="8" t="s">
        <v>66</v>
      </c>
      <c r="J31" s="6" t="s">
        <v>209</v>
      </c>
      <c r="K31" s="6"/>
      <c r="L31" s="6" t="str">
        <f>IFERROR(__xludf.DUMMYFUNCTION("JOIN("", "", IFERROR(FILTER(ROW(talentCollab:talentCollab), ISNUMBER(SEARCH(C31, talentCollab:talentCollab)), talentIndex:talentIndex=TRUE)))"),"")</f>
        <v/>
      </c>
    </row>
    <row r="32" ht="22.5" customHeight="1">
      <c r="A32" s="1" t="b">
        <v>0</v>
      </c>
      <c r="B32" s="1">
        <f t="shared" si="1"/>
        <v>32</v>
      </c>
      <c r="C32" s="4" t="s">
        <v>210</v>
      </c>
      <c r="D32" s="12" t="s">
        <v>211</v>
      </c>
      <c r="E32" s="12" t="s">
        <v>212</v>
      </c>
      <c r="F32" s="4"/>
      <c r="G32" s="9" t="s">
        <v>65</v>
      </c>
      <c r="H32" s="4"/>
      <c r="I32" s="8" t="s">
        <v>66</v>
      </c>
      <c r="J32" s="6" t="s">
        <v>7</v>
      </c>
      <c r="K32" s="6"/>
      <c r="L32" s="6" t="str">
        <f>IFERROR(__xludf.DUMMYFUNCTION("JOIN("", "", IFERROR(FILTER(ROW(talentCollab:talentCollab), ISNUMBER(SEARCH(C32, talentCollab:talentCollab)), talentIndex:talentIndex=TRUE)))"),"")</f>
        <v/>
      </c>
    </row>
    <row r="33" ht="22.5" customHeight="1">
      <c r="A33" s="1" t="b">
        <v>1</v>
      </c>
      <c r="B33" s="1">
        <f t="shared" si="1"/>
        <v>33</v>
      </c>
      <c r="C33" s="4" t="s">
        <v>213</v>
      </c>
      <c r="D33" s="12" t="s">
        <v>214</v>
      </c>
      <c r="E33" s="12" t="s">
        <v>215</v>
      </c>
      <c r="F33" s="12" t="s">
        <v>216</v>
      </c>
      <c r="G33" s="9" t="s">
        <v>65</v>
      </c>
      <c r="H33" s="4"/>
      <c r="I33" s="8" t="s">
        <v>217</v>
      </c>
      <c r="J33" s="6" t="s">
        <v>7</v>
      </c>
      <c r="K33" s="6"/>
      <c r="L33" s="6" t="str">
        <f>IFERROR(__xludf.DUMMYFUNCTION("JOIN("", "", IFERROR(FILTER(ROW(talentCollab:talentCollab), ISNUMBER(SEARCH(C33, talentCollab:talentCollab)), talentIndex:talentIndex=TRUE)))"),"")</f>
        <v/>
      </c>
    </row>
    <row r="34" ht="22.5" customHeight="1">
      <c r="A34" s="1" t="b">
        <v>1</v>
      </c>
      <c r="B34" s="1">
        <f t="shared" si="1"/>
        <v>34</v>
      </c>
      <c r="C34" s="4" t="s">
        <v>218</v>
      </c>
      <c r="D34" s="12" t="s">
        <v>219</v>
      </c>
      <c r="E34" s="12" t="s">
        <v>220</v>
      </c>
      <c r="F34" s="12" t="s">
        <v>221</v>
      </c>
      <c r="G34" s="9" t="s">
        <v>65</v>
      </c>
      <c r="H34" s="4"/>
      <c r="I34" s="8" t="s">
        <v>66</v>
      </c>
      <c r="J34" s="6" t="s">
        <v>80</v>
      </c>
      <c r="K34" s="6"/>
      <c r="L34" s="6" t="str">
        <f>IFERROR(__xludf.DUMMYFUNCTION("JOIN("", "", IFERROR(FILTER(ROW(talentCollab:talentCollab), ISNUMBER(SEARCH(C34, talentCollab:talentCollab)), talentIndex:talentIndex=TRUE)))"),"")</f>
        <v/>
      </c>
    </row>
    <row r="35" ht="22.5" customHeight="1">
      <c r="A35" s="1" t="b">
        <v>1</v>
      </c>
      <c r="B35" s="1">
        <f t="shared" si="1"/>
        <v>35</v>
      </c>
      <c r="C35" s="4" t="s">
        <v>222</v>
      </c>
      <c r="D35" s="12" t="s">
        <v>223</v>
      </c>
      <c r="E35" s="12" t="s">
        <v>224</v>
      </c>
      <c r="F35" s="12" t="s">
        <v>225</v>
      </c>
      <c r="G35" s="9" t="s">
        <v>65</v>
      </c>
      <c r="H35" s="4"/>
      <c r="I35" s="8" t="s">
        <v>66</v>
      </c>
      <c r="J35" s="6" t="s">
        <v>80</v>
      </c>
      <c r="K35" s="6"/>
      <c r="L35" s="6" t="str">
        <f>IFERROR(__xludf.DUMMYFUNCTION("JOIN("", "", IFERROR(FILTER(ROW(talentCollab:talentCollab), ISNUMBER(SEARCH(C35, talentCollab:talentCollab)), talentIndex:talentIndex=TRUE)))"),"")</f>
        <v/>
      </c>
    </row>
    <row r="36" ht="22.5" customHeight="1">
      <c r="A36" s="1" t="b">
        <v>0</v>
      </c>
      <c r="B36" s="1">
        <f t="shared" si="1"/>
        <v>36</v>
      </c>
      <c r="C36" s="4" t="s">
        <v>226</v>
      </c>
      <c r="D36" s="12" t="s">
        <v>227</v>
      </c>
      <c r="E36" s="12" t="s">
        <v>228</v>
      </c>
      <c r="F36" s="12" t="s">
        <v>229</v>
      </c>
      <c r="G36" s="9" t="s">
        <v>65</v>
      </c>
      <c r="H36" s="4"/>
      <c r="I36" s="8" t="s">
        <v>66</v>
      </c>
      <c r="J36" s="6" t="s">
        <v>230</v>
      </c>
      <c r="K36" s="6"/>
      <c r="L36" s="6" t="str">
        <f>IFERROR(__xludf.DUMMYFUNCTION("JOIN("", "", IFERROR(FILTER(ROW(talentCollab:talentCollab), ISNUMBER(SEARCH(C36, talentCollab:talentCollab)), talentIndex:talentIndex=TRUE)))"),"")</f>
        <v/>
      </c>
    </row>
    <row r="37" ht="22.5" customHeight="1">
      <c r="A37" s="1" t="b">
        <v>0</v>
      </c>
      <c r="B37" s="1">
        <f t="shared" si="1"/>
        <v>37</v>
      </c>
      <c r="C37" s="4" t="s">
        <v>231</v>
      </c>
      <c r="D37" s="4"/>
      <c r="E37" s="12" t="s">
        <v>232</v>
      </c>
      <c r="F37" s="4"/>
      <c r="G37" s="9" t="s">
        <v>65</v>
      </c>
      <c r="H37" s="4"/>
      <c r="I37" s="8" t="s">
        <v>66</v>
      </c>
      <c r="J37" s="6" t="s">
        <v>7</v>
      </c>
      <c r="K37" s="6"/>
      <c r="L37" s="6" t="str">
        <f>IFERROR(__xludf.DUMMYFUNCTION("JOIN("", "", IFERROR(FILTER(ROW(talentCollab:talentCollab), ISNUMBER(SEARCH(C37, talentCollab:talentCollab)), talentIndex:talentIndex=TRUE)))"),"")</f>
        <v/>
      </c>
    </row>
    <row r="38" ht="22.5" customHeight="1">
      <c r="A38" s="1" t="b">
        <v>1</v>
      </c>
      <c r="B38" s="1">
        <f t="shared" si="1"/>
        <v>38</v>
      </c>
      <c r="C38" s="4" t="s">
        <v>233</v>
      </c>
      <c r="D38" s="12" t="s">
        <v>234</v>
      </c>
      <c r="E38" s="12" t="s">
        <v>235</v>
      </c>
      <c r="F38" s="12" t="s">
        <v>236</v>
      </c>
      <c r="G38" s="9" t="s">
        <v>65</v>
      </c>
      <c r="H38" s="4"/>
      <c r="I38" s="8" t="s">
        <v>66</v>
      </c>
      <c r="J38" s="6" t="s">
        <v>237</v>
      </c>
      <c r="K38" s="6"/>
      <c r="L38" s="6" t="str">
        <f>IFERROR(__xludf.DUMMYFUNCTION("JOIN("", "", IFERROR(FILTER(ROW(talentCollab:talentCollab), ISNUMBER(SEARCH(C38, talentCollab:talentCollab)), talentIndex:talentIndex=TRUE)))"),"")</f>
        <v/>
      </c>
    </row>
    <row r="39" ht="22.5" customHeight="1">
      <c r="A39" s="1" t="b">
        <v>0</v>
      </c>
      <c r="B39" s="1">
        <f t="shared" si="1"/>
        <v>39</v>
      </c>
      <c r="C39" s="4" t="s">
        <v>238</v>
      </c>
      <c r="D39" s="4"/>
      <c r="E39" s="12" t="s">
        <v>239</v>
      </c>
      <c r="F39" s="12" t="s">
        <v>240</v>
      </c>
      <c r="G39" s="9" t="s">
        <v>65</v>
      </c>
      <c r="H39" s="4"/>
      <c r="I39" s="8" t="s">
        <v>66</v>
      </c>
      <c r="J39" s="6" t="s">
        <v>7</v>
      </c>
      <c r="K39" s="6"/>
      <c r="L39" s="6" t="str">
        <f>IFERROR(__xludf.DUMMYFUNCTION("JOIN("", "", IFERROR(FILTER(ROW(talentCollab:talentCollab), ISNUMBER(SEARCH(C39, talentCollab:talentCollab)), talentIndex:talentIndex=TRUE)))"),"")</f>
        <v/>
      </c>
    </row>
    <row r="40" ht="22.5" customHeight="1">
      <c r="A40" s="1" t="b">
        <v>1</v>
      </c>
      <c r="B40" s="1">
        <f t="shared" si="1"/>
        <v>40</v>
      </c>
      <c r="C40" s="4" t="s">
        <v>241</v>
      </c>
      <c r="D40" s="12" t="s">
        <v>242</v>
      </c>
      <c r="E40" s="12" t="s">
        <v>243</v>
      </c>
      <c r="F40" s="12" t="s">
        <v>244</v>
      </c>
      <c r="G40" s="9" t="s">
        <v>65</v>
      </c>
      <c r="H40" s="4"/>
      <c r="I40" s="8" t="s">
        <v>66</v>
      </c>
      <c r="J40" s="6" t="s">
        <v>245</v>
      </c>
      <c r="K40" s="6"/>
      <c r="L40" s="6" t="str">
        <f>IFERROR(__xludf.DUMMYFUNCTION("JOIN("", "", IFERROR(FILTER(ROW(talentCollab:talentCollab), ISNUMBER(SEARCH(C40, talentCollab:talentCollab)), talentIndex:talentIndex=TRUE)))"),"12")</f>
        <v>12</v>
      </c>
    </row>
    <row r="41" ht="22.5" customHeight="1">
      <c r="A41" s="1" t="b">
        <v>1</v>
      </c>
      <c r="B41" s="1">
        <f t="shared" si="1"/>
        <v>41</v>
      </c>
      <c r="C41" s="4" t="s">
        <v>246</v>
      </c>
      <c r="D41" s="12" t="s">
        <v>247</v>
      </c>
      <c r="E41" s="12" t="s">
        <v>248</v>
      </c>
      <c r="F41" s="13" t="s">
        <v>249</v>
      </c>
      <c r="G41" s="9" t="s">
        <v>65</v>
      </c>
      <c r="H41" s="4"/>
      <c r="I41" s="8" t="s">
        <v>66</v>
      </c>
      <c r="J41" s="6" t="s">
        <v>178</v>
      </c>
      <c r="K41" s="6"/>
      <c r="L41" s="6" t="str">
        <f>IFERROR(__xludf.DUMMYFUNCTION("JOIN("", "", IFERROR(FILTER(ROW(talentCollab:talentCollab), ISNUMBER(SEARCH(C41, talentCollab:talentCollab)), talentIndex:talentIndex=TRUE)))"),"")</f>
        <v/>
      </c>
    </row>
    <row r="42" ht="22.5" customHeight="1">
      <c r="A42" s="1" t="b">
        <v>0</v>
      </c>
      <c r="B42" s="1">
        <f t="shared" si="1"/>
        <v>42</v>
      </c>
      <c r="C42" s="4" t="s">
        <v>250</v>
      </c>
      <c r="D42" s="12" t="s">
        <v>251</v>
      </c>
      <c r="E42" s="12" t="s">
        <v>252</v>
      </c>
      <c r="F42" s="12" t="s">
        <v>253</v>
      </c>
      <c r="G42" s="9" t="s">
        <v>65</v>
      </c>
      <c r="H42" s="4"/>
      <c r="I42" s="8" t="s">
        <v>66</v>
      </c>
      <c r="J42" s="6" t="s">
        <v>7</v>
      </c>
      <c r="K42" s="6"/>
      <c r="L42" s="6" t="str">
        <f>IFERROR(__xludf.DUMMYFUNCTION("JOIN("", "", IFERROR(FILTER(ROW(talentCollab:talentCollab), ISNUMBER(SEARCH(C42, talentCollab:talentCollab)), talentIndex:talentIndex=TRUE)))"),"")</f>
        <v/>
      </c>
    </row>
    <row r="43" ht="22.5" customHeight="1">
      <c r="A43" s="1" t="b">
        <v>1</v>
      </c>
      <c r="B43" s="1">
        <f t="shared" si="1"/>
        <v>43</v>
      </c>
      <c r="C43" s="4" t="s">
        <v>254</v>
      </c>
      <c r="D43" s="12" t="s">
        <v>255</v>
      </c>
      <c r="E43" s="12" t="s">
        <v>256</v>
      </c>
      <c r="F43" s="12" t="s">
        <v>257</v>
      </c>
      <c r="G43" s="9" t="s">
        <v>65</v>
      </c>
      <c r="H43" s="4"/>
      <c r="I43" s="8" t="s">
        <v>66</v>
      </c>
      <c r="J43" s="6" t="s">
        <v>178</v>
      </c>
      <c r="K43" s="6"/>
      <c r="L43" s="6" t="str">
        <f>IFERROR(__xludf.DUMMYFUNCTION("JOIN("", "", IFERROR(FILTER(ROW(talentCollab:talentCollab), ISNUMBER(SEARCH(C43, talentCollab:talentCollab)), talentIndex:talentIndex=TRUE)))"),"12")</f>
        <v>12</v>
      </c>
    </row>
    <row r="44" ht="22.5" customHeight="1">
      <c r="A44" s="1" t="b">
        <v>0</v>
      </c>
      <c r="B44" s="1">
        <f t="shared" si="1"/>
        <v>44</v>
      </c>
      <c r="C44" s="4" t="s">
        <v>258</v>
      </c>
      <c r="D44" s="12" t="s">
        <v>259</v>
      </c>
      <c r="E44" s="12" t="s">
        <v>260</v>
      </c>
      <c r="F44" s="4"/>
      <c r="G44" s="9" t="s">
        <v>65</v>
      </c>
      <c r="H44" s="4"/>
      <c r="I44" s="8" t="s">
        <v>66</v>
      </c>
      <c r="J44" s="6" t="s">
        <v>183</v>
      </c>
      <c r="K44" s="6"/>
      <c r="L44" s="6" t="str">
        <f>IFERROR(__xludf.DUMMYFUNCTION("JOIN("", "", IFERROR(FILTER(ROW(talentCollab:talentCollab), ISNUMBER(SEARCH(C44, talentCollab:talentCollab)), talentIndex:talentIndex=TRUE)))"),"")</f>
        <v/>
      </c>
    </row>
    <row r="45" ht="22.5" customHeight="1">
      <c r="A45" s="1" t="b">
        <v>1</v>
      </c>
      <c r="B45" s="1">
        <f t="shared" si="1"/>
        <v>45</v>
      </c>
      <c r="C45" s="4" t="s">
        <v>261</v>
      </c>
      <c r="D45" s="12" t="s">
        <v>262</v>
      </c>
      <c r="E45" s="12" t="s">
        <v>263</v>
      </c>
      <c r="F45" s="12" t="s">
        <v>264</v>
      </c>
      <c r="G45" s="9" t="s">
        <v>65</v>
      </c>
      <c r="H45" s="4"/>
      <c r="I45" s="8" t="s">
        <v>66</v>
      </c>
      <c r="J45" s="6" t="s">
        <v>80</v>
      </c>
      <c r="K45" s="6"/>
      <c r="L45" s="6" t="str">
        <f>IFERROR(__xludf.DUMMYFUNCTION("JOIN("", "", IFERROR(FILTER(ROW(talentCollab:talentCollab), ISNUMBER(SEARCH(C45, talentCollab:talentCollab)), talentIndex:talentIndex=TRUE)))"),"")</f>
        <v/>
      </c>
    </row>
    <row r="46" ht="22.5" customHeight="1">
      <c r="A46" s="1" t="b">
        <v>1</v>
      </c>
      <c r="B46" s="1">
        <f t="shared" si="1"/>
        <v>46</v>
      </c>
      <c r="C46" s="4" t="s">
        <v>265</v>
      </c>
      <c r="D46" s="12" t="s">
        <v>266</v>
      </c>
      <c r="E46" s="12" t="s">
        <v>267</v>
      </c>
      <c r="F46" s="4"/>
      <c r="G46" s="9" t="s">
        <v>65</v>
      </c>
      <c r="H46" s="4"/>
      <c r="I46" s="8" t="s">
        <v>66</v>
      </c>
      <c r="J46" s="6" t="s">
        <v>178</v>
      </c>
      <c r="K46" s="6"/>
      <c r="L46" s="6" t="str">
        <f>IFERROR(__xludf.DUMMYFUNCTION("JOIN("", "", IFERROR(FILTER(ROW(talentCollab:talentCollab), ISNUMBER(SEARCH(C46, talentCollab:talentCollab)), talentIndex:talentIndex=TRUE)))"),"")</f>
        <v/>
      </c>
    </row>
    <row r="47" ht="22.5" customHeight="1">
      <c r="A47" s="1" t="b">
        <v>1</v>
      </c>
      <c r="B47" s="1">
        <f t="shared" si="1"/>
        <v>47</v>
      </c>
      <c r="C47" s="4" t="s">
        <v>268</v>
      </c>
      <c r="D47" s="12" t="s">
        <v>269</v>
      </c>
      <c r="E47" s="12" t="s">
        <v>270</v>
      </c>
      <c r="F47" s="12" t="s">
        <v>271</v>
      </c>
      <c r="G47" s="9" t="s">
        <v>65</v>
      </c>
      <c r="H47" s="4"/>
      <c r="I47" s="8" t="s">
        <v>66</v>
      </c>
      <c r="J47" s="6" t="s">
        <v>272</v>
      </c>
      <c r="K47" s="6"/>
      <c r="L47" s="6" t="str">
        <f>IFERROR(__xludf.DUMMYFUNCTION("JOIN("", "", IFERROR(FILTER(ROW(talentCollab:talentCollab), ISNUMBER(SEARCH(C47, talentCollab:talentCollab)), talentIndex:talentIndex=TRUE)))"),"")</f>
        <v/>
      </c>
    </row>
    <row r="48" ht="22.5" customHeight="1">
      <c r="A48" s="1" t="b">
        <v>1</v>
      </c>
      <c r="B48" s="1">
        <f t="shared" si="1"/>
        <v>48</v>
      </c>
      <c r="C48" s="4" t="s">
        <v>273</v>
      </c>
      <c r="D48" s="12" t="s">
        <v>274</v>
      </c>
      <c r="E48" s="12" t="s">
        <v>275</v>
      </c>
      <c r="F48" s="12" t="s">
        <v>276</v>
      </c>
      <c r="G48" s="9" t="s">
        <v>65</v>
      </c>
      <c r="H48" s="4"/>
      <c r="I48" s="8" t="s">
        <v>66</v>
      </c>
      <c r="J48" s="6" t="s">
        <v>195</v>
      </c>
      <c r="K48" s="6"/>
      <c r="L48" s="6" t="str">
        <f>IFERROR(__xludf.DUMMYFUNCTION("JOIN("", "", IFERROR(FILTER(ROW(talentCollab:talentCollab), ISNUMBER(SEARCH(C48, talentCollab:talentCollab)), talentIndex:talentIndex=TRUE)))"),"")</f>
        <v/>
      </c>
    </row>
    <row r="49" ht="22.5" customHeight="1">
      <c r="A49" s="1" t="b">
        <v>1</v>
      </c>
      <c r="B49" s="1">
        <f t="shared" si="1"/>
        <v>49</v>
      </c>
      <c r="C49" s="4" t="s">
        <v>277</v>
      </c>
      <c r="D49" s="12" t="s">
        <v>278</v>
      </c>
      <c r="E49" s="12" t="s">
        <v>279</v>
      </c>
      <c r="F49" s="12" t="s">
        <v>280</v>
      </c>
      <c r="G49" s="9" t="s">
        <v>65</v>
      </c>
      <c r="H49" s="4"/>
      <c r="I49" s="8" t="s">
        <v>66</v>
      </c>
      <c r="J49" s="6" t="s">
        <v>7</v>
      </c>
      <c r="K49" s="6"/>
      <c r="L49" s="6" t="str">
        <f>IFERROR(__xludf.DUMMYFUNCTION("JOIN("", "", IFERROR(FILTER(ROW(talentCollab:talentCollab), ISNUMBER(SEARCH(C49, talentCollab:talentCollab)), talentIndex:talentIndex=TRUE)))"),"")</f>
        <v/>
      </c>
    </row>
    <row r="50" ht="22.5" customHeight="1">
      <c r="A50" s="1" t="b">
        <v>1</v>
      </c>
      <c r="B50" s="1">
        <f t="shared" si="1"/>
        <v>50</v>
      </c>
      <c r="C50" s="4" t="s">
        <v>281</v>
      </c>
      <c r="D50" s="12" t="s">
        <v>282</v>
      </c>
      <c r="E50" s="12" t="s">
        <v>283</v>
      </c>
      <c r="F50" s="12" t="s">
        <v>284</v>
      </c>
      <c r="G50" s="9" t="s">
        <v>65</v>
      </c>
      <c r="H50" s="4"/>
      <c r="I50" s="8" t="s">
        <v>285</v>
      </c>
      <c r="J50" s="6" t="s">
        <v>90</v>
      </c>
      <c r="K50" s="6"/>
      <c r="L50" s="6" t="str">
        <f>IFERROR(__xludf.DUMMYFUNCTION("JOIN("", "", IFERROR(FILTER(ROW(talentCollab:talentCollab), ISNUMBER(SEARCH(C50, talentCollab:talentCollab)), talentIndex:talentIndex=TRUE)))"),"")</f>
        <v/>
      </c>
    </row>
    <row r="51" ht="22.5" customHeight="1">
      <c r="A51" s="1" t="b">
        <v>1</v>
      </c>
      <c r="B51" s="1">
        <f t="shared" si="1"/>
        <v>51</v>
      </c>
      <c r="C51" s="4" t="s">
        <v>286</v>
      </c>
      <c r="D51" s="12" t="s">
        <v>287</v>
      </c>
      <c r="E51" s="12" t="s">
        <v>288</v>
      </c>
      <c r="F51" s="12" t="s">
        <v>289</v>
      </c>
      <c r="G51" s="9" t="s">
        <v>65</v>
      </c>
      <c r="H51" s="4"/>
      <c r="I51" s="8" t="s">
        <v>66</v>
      </c>
      <c r="J51" s="6" t="s">
        <v>237</v>
      </c>
      <c r="K51" s="6"/>
      <c r="L51" s="6" t="str">
        <f>IFERROR(__xludf.DUMMYFUNCTION("JOIN("", "", IFERROR(FILTER(ROW(talentCollab:talentCollab), ISNUMBER(SEARCH(C51, talentCollab:talentCollab)), talentIndex:talentIndex=TRUE)))"),"")</f>
        <v/>
      </c>
    </row>
    <row r="52" ht="22.5" customHeight="1">
      <c r="A52" s="1" t="b">
        <v>0</v>
      </c>
      <c r="B52" s="1">
        <f t="shared" si="1"/>
        <v>52</v>
      </c>
      <c r="C52" s="4" t="s">
        <v>290</v>
      </c>
      <c r="D52" s="12" t="s">
        <v>291</v>
      </c>
      <c r="E52" s="12" t="s">
        <v>292</v>
      </c>
      <c r="F52" s="12" t="s">
        <v>293</v>
      </c>
      <c r="G52" s="9" t="s">
        <v>65</v>
      </c>
      <c r="H52" s="4"/>
      <c r="I52" s="8" t="s">
        <v>66</v>
      </c>
      <c r="J52" s="6" t="s">
        <v>237</v>
      </c>
      <c r="K52" s="6"/>
      <c r="L52" s="6" t="str">
        <f>IFERROR(__xludf.DUMMYFUNCTION("JOIN("", "", IFERROR(FILTER(ROW(talentCollab:talentCollab), ISNUMBER(SEARCH(C52, talentCollab:talentCollab)), talentIndex:talentIndex=TRUE)))"),"")</f>
        <v/>
      </c>
    </row>
    <row r="53" ht="22.5" customHeight="1">
      <c r="A53" s="1" t="b">
        <v>0</v>
      </c>
      <c r="B53" s="1">
        <f t="shared" si="1"/>
        <v>53</v>
      </c>
      <c r="C53" s="4" t="s">
        <v>294</v>
      </c>
      <c r="D53" s="12" t="s">
        <v>295</v>
      </c>
      <c r="E53" s="12" t="s">
        <v>296</v>
      </c>
      <c r="F53" s="12" t="s">
        <v>297</v>
      </c>
      <c r="G53" s="9" t="s">
        <v>65</v>
      </c>
      <c r="H53" s="4"/>
      <c r="I53" s="8" t="s">
        <v>66</v>
      </c>
      <c r="J53" s="6" t="s">
        <v>7</v>
      </c>
      <c r="K53" s="6"/>
      <c r="L53" s="6" t="str">
        <f>IFERROR(__xludf.DUMMYFUNCTION("JOIN("", "", IFERROR(FILTER(ROW(talentCollab:talentCollab), ISNUMBER(SEARCH(C53, talentCollab:talentCollab)), talentIndex:talentIndex=TRUE)))"),"")</f>
        <v/>
      </c>
    </row>
    <row r="54" ht="22.5" customHeight="1">
      <c r="A54" s="1" t="b">
        <v>1</v>
      </c>
      <c r="B54" s="1">
        <f t="shared" si="1"/>
        <v>54</v>
      </c>
      <c r="C54" s="4" t="s">
        <v>298</v>
      </c>
      <c r="D54" s="12" t="s">
        <v>299</v>
      </c>
      <c r="E54" s="12" t="s">
        <v>300</v>
      </c>
      <c r="F54" s="12" t="s">
        <v>301</v>
      </c>
      <c r="G54" s="9" t="s">
        <v>65</v>
      </c>
      <c r="H54" s="4"/>
      <c r="I54" s="8" t="s">
        <v>217</v>
      </c>
      <c r="J54" s="6" t="s">
        <v>7</v>
      </c>
      <c r="K54" s="6"/>
      <c r="L54" s="6" t="str">
        <f>IFERROR(__xludf.DUMMYFUNCTION("JOIN("", "", IFERROR(FILTER(ROW(talentCollab:talentCollab), ISNUMBER(SEARCH(C54, talentCollab:talentCollab)), talentIndex:talentIndex=TRUE)))"),"")</f>
        <v/>
      </c>
    </row>
    <row r="55" ht="22.5" customHeight="1">
      <c r="A55" s="1" t="b">
        <v>0</v>
      </c>
      <c r="B55" s="1">
        <f t="shared" si="1"/>
        <v>55</v>
      </c>
      <c r="C55" s="4" t="s">
        <v>302</v>
      </c>
      <c r="D55" s="12" t="s">
        <v>303</v>
      </c>
      <c r="E55" s="12" t="s">
        <v>304</v>
      </c>
      <c r="F55" s="12" t="s">
        <v>305</v>
      </c>
      <c r="G55" s="9" t="s">
        <v>65</v>
      </c>
      <c r="H55" s="4"/>
      <c r="I55" s="8" t="s">
        <v>66</v>
      </c>
      <c r="J55" s="6" t="s">
        <v>80</v>
      </c>
      <c r="K55" s="6"/>
      <c r="L55" s="6" t="str">
        <f>IFERROR(__xludf.DUMMYFUNCTION("JOIN("", "", IFERROR(FILTER(ROW(talentCollab:talentCollab), ISNUMBER(SEARCH(C55, talentCollab:talentCollab)), talentIndex:talentIndex=TRUE)))"),"")</f>
        <v/>
      </c>
    </row>
    <row r="56" ht="22.5" customHeight="1">
      <c r="A56" s="1" t="b">
        <v>1</v>
      </c>
      <c r="B56" s="1">
        <f t="shared" si="1"/>
        <v>56</v>
      </c>
      <c r="C56" s="4" t="s">
        <v>306</v>
      </c>
      <c r="D56" s="12" t="s">
        <v>307</v>
      </c>
      <c r="E56" s="12" t="s">
        <v>308</v>
      </c>
      <c r="F56" s="12" t="s">
        <v>309</v>
      </c>
      <c r="G56" s="9" t="s">
        <v>65</v>
      </c>
      <c r="H56" s="4"/>
      <c r="I56" s="8" t="s">
        <v>66</v>
      </c>
      <c r="J56" s="6" t="s">
        <v>310</v>
      </c>
      <c r="K56" s="6"/>
      <c r="L56" s="6" t="str">
        <f>IFERROR(__xludf.DUMMYFUNCTION("JOIN("", "", IFERROR(FILTER(ROW(talentCollab:talentCollab), ISNUMBER(SEARCH(C56, talentCollab:talentCollab)), talentIndex:talentIndex=TRUE)))"),"")</f>
        <v/>
      </c>
    </row>
    <row r="57" ht="22.5" customHeight="1">
      <c r="A57" s="1" t="b">
        <v>1</v>
      </c>
      <c r="B57" s="1">
        <f t="shared" si="1"/>
        <v>57</v>
      </c>
      <c r="C57" s="4" t="s">
        <v>311</v>
      </c>
      <c r="D57" s="12" t="s">
        <v>312</v>
      </c>
      <c r="E57" s="4"/>
      <c r="F57" s="12" t="s">
        <v>313</v>
      </c>
      <c r="G57" s="9" t="s">
        <v>65</v>
      </c>
      <c r="H57" s="4"/>
      <c r="I57" s="8" t="s">
        <v>66</v>
      </c>
      <c r="J57" s="6" t="s">
        <v>90</v>
      </c>
      <c r="K57" s="6"/>
      <c r="L57" s="6" t="str">
        <f>IFERROR(__xludf.DUMMYFUNCTION("JOIN("", "", IFERROR(FILTER(ROW(talentCollab:talentCollab), ISNUMBER(SEARCH(C57, talentCollab:talentCollab)), talentIndex:talentIndex=TRUE)))"),"")</f>
        <v/>
      </c>
    </row>
    <row r="58" ht="22.5" customHeight="1">
      <c r="A58" s="1" t="b">
        <v>1</v>
      </c>
      <c r="B58" s="1">
        <f t="shared" si="1"/>
        <v>58</v>
      </c>
      <c r="C58" s="4" t="s">
        <v>314</v>
      </c>
      <c r="D58" s="12" t="s">
        <v>315</v>
      </c>
      <c r="E58" s="12" t="s">
        <v>316</v>
      </c>
      <c r="F58" s="12" t="s">
        <v>317</v>
      </c>
      <c r="G58" s="9" t="s">
        <v>65</v>
      </c>
      <c r="H58" s="4"/>
      <c r="I58" s="8" t="s">
        <v>66</v>
      </c>
      <c r="J58" s="6" t="s">
        <v>90</v>
      </c>
      <c r="K58" s="6"/>
      <c r="L58" s="6" t="str">
        <f>IFERROR(__xludf.DUMMYFUNCTION("JOIN("", "", IFERROR(FILTER(ROW(talentCollab:talentCollab), ISNUMBER(SEARCH(C58, talentCollab:talentCollab)), talentIndex:talentIndex=TRUE)))"),"")</f>
        <v/>
      </c>
    </row>
    <row r="59" ht="22.5" customHeight="1">
      <c r="A59" s="1" t="b">
        <v>0</v>
      </c>
      <c r="B59" s="1">
        <f t="shared" si="1"/>
        <v>59</v>
      </c>
      <c r="C59" s="4" t="s">
        <v>318</v>
      </c>
      <c r="D59" s="12" t="s">
        <v>319</v>
      </c>
      <c r="E59" s="12" t="s">
        <v>320</v>
      </c>
      <c r="F59" s="12" t="s">
        <v>321</v>
      </c>
      <c r="G59" s="9" t="s">
        <v>65</v>
      </c>
      <c r="H59" s="4"/>
      <c r="I59" s="8" t="s">
        <v>66</v>
      </c>
      <c r="J59" s="6" t="s">
        <v>322</v>
      </c>
      <c r="K59" s="6"/>
      <c r="L59" s="6" t="str">
        <f>IFERROR(__xludf.DUMMYFUNCTION("JOIN("", "", IFERROR(FILTER(ROW(talentCollab:talentCollab), ISNUMBER(SEARCH(C59, talentCollab:talentCollab)), talentIndex:talentIndex=TRUE)))"),"")</f>
        <v/>
      </c>
    </row>
    <row r="60" ht="22.5" customHeight="1">
      <c r="A60" s="1" t="b">
        <v>1</v>
      </c>
      <c r="B60" s="1">
        <f t="shared" si="1"/>
        <v>60</v>
      </c>
      <c r="C60" s="4" t="s">
        <v>323</v>
      </c>
      <c r="D60" s="12" t="s">
        <v>324</v>
      </c>
      <c r="E60" s="12" t="s">
        <v>325</v>
      </c>
      <c r="F60" s="12" t="s">
        <v>326</v>
      </c>
      <c r="G60" s="9" t="s">
        <v>65</v>
      </c>
      <c r="H60" s="4"/>
      <c r="I60" s="8" t="s">
        <v>66</v>
      </c>
      <c r="J60" s="6" t="s">
        <v>209</v>
      </c>
      <c r="K60" s="6"/>
      <c r="L60" s="6" t="str">
        <f>IFERROR(__xludf.DUMMYFUNCTION("JOIN("", "", IFERROR(FILTER(ROW(talentCollab:talentCollab), ISNUMBER(SEARCH(C60, talentCollab:talentCollab)), talentIndex:talentIndex=TRUE)))"),"12")</f>
        <v>12</v>
      </c>
    </row>
    <row r="61" ht="22.5" customHeight="1">
      <c r="A61" s="1" t="b">
        <v>1</v>
      </c>
      <c r="B61" s="1">
        <f t="shared" si="1"/>
        <v>61</v>
      </c>
      <c r="C61" s="4" t="s">
        <v>327</v>
      </c>
      <c r="D61" s="12" t="s">
        <v>328</v>
      </c>
      <c r="E61" s="12" t="s">
        <v>329</v>
      </c>
      <c r="F61" s="12" t="s">
        <v>330</v>
      </c>
      <c r="G61" s="9" t="s">
        <v>65</v>
      </c>
      <c r="H61" s="4"/>
      <c r="I61" s="8" t="s">
        <v>217</v>
      </c>
      <c r="J61" s="6" t="s">
        <v>178</v>
      </c>
      <c r="K61" s="6"/>
      <c r="L61" s="6" t="str">
        <f>IFERROR(__xludf.DUMMYFUNCTION("JOIN("", "", IFERROR(FILTER(ROW(talentCollab:talentCollab), ISNUMBER(SEARCH(C61, talentCollab:talentCollab)), talentIndex:talentIndex=TRUE)))"),"")</f>
        <v/>
      </c>
    </row>
    <row r="62" ht="22.5" customHeight="1">
      <c r="A62" s="1" t="b">
        <v>0</v>
      </c>
      <c r="B62" s="1">
        <f t="shared" si="1"/>
        <v>62</v>
      </c>
      <c r="C62" s="4" t="s">
        <v>331</v>
      </c>
      <c r="D62" s="12" t="s">
        <v>332</v>
      </c>
      <c r="E62" s="12" t="s">
        <v>333</v>
      </c>
      <c r="F62" s="4"/>
      <c r="G62" s="9" t="s">
        <v>65</v>
      </c>
      <c r="H62" s="4"/>
      <c r="I62" s="8" t="s">
        <v>66</v>
      </c>
      <c r="J62" s="6" t="s">
        <v>334</v>
      </c>
      <c r="K62" s="6"/>
      <c r="L62" s="6" t="str">
        <f>IFERROR(__xludf.DUMMYFUNCTION("JOIN("", "", IFERROR(FILTER(ROW(talentCollab:talentCollab), ISNUMBER(SEARCH(C62, talentCollab:talentCollab)), talentIndex:talentIndex=TRUE)))"),"")</f>
        <v/>
      </c>
    </row>
    <row r="63" ht="22.5" customHeight="1">
      <c r="A63" s="1" t="b">
        <v>0</v>
      </c>
      <c r="B63" s="1">
        <f t="shared" si="1"/>
        <v>63</v>
      </c>
      <c r="C63" s="4" t="s">
        <v>335</v>
      </c>
      <c r="D63" s="12" t="s">
        <v>336</v>
      </c>
      <c r="E63" s="12" t="s">
        <v>337</v>
      </c>
      <c r="F63" s="12" t="s">
        <v>338</v>
      </c>
      <c r="G63" s="9" t="s">
        <v>65</v>
      </c>
      <c r="H63" s="4"/>
      <c r="I63" s="8" t="s">
        <v>66</v>
      </c>
      <c r="J63" s="6" t="s">
        <v>99</v>
      </c>
      <c r="K63" s="6"/>
      <c r="L63" s="6" t="str">
        <f>IFERROR(__xludf.DUMMYFUNCTION("JOIN("", "", IFERROR(FILTER(ROW(talentCollab:talentCollab), ISNUMBER(SEARCH(C63, talentCollab:talentCollab)), talentIndex:talentIndex=TRUE)))"),"")</f>
        <v/>
      </c>
    </row>
    <row r="64" ht="22.5" customHeight="1">
      <c r="A64" s="1" t="b">
        <v>1</v>
      </c>
      <c r="B64" s="1">
        <f t="shared" si="1"/>
        <v>64</v>
      </c>
      <c r="C64" s="4" t="s">
        <v>339</v>
      </c>
      <c r="D64" s="12" t="s">
        <v>340</v>
      </c>
      <c r="E64" s="12" t="s">
        <v>341</v>
      </c>
      <c r="F64" s="12" t="s">
        <v>342</v>
      </c>
      <c r="G64" s="9" t="s">
        <v>65</v>
      </c>
      <c r="H64" s="4"/>
      <c r="I64" s="8" t="s">
        <v>66</v>
      </c>
      <c r="J64" s="6" t="s">
        <v>343</v>
      </c>
      <c r="K64" s="6"/>
      <c r="L64" s="6" t="str">
        <f>IFERROR(__xludf.DUMMYFUNCTION("JOIN("", "", IFERROR(FILTER(ROW(talentCollab:talentCollab), ISNUMBER(SEARCH(C64, talentCollab:talentCollab)), talentIndex:talentIndex=TRUE)))"),"12")</f>
        <v>12</v>
      </c>
    </row>
    <row r="65" ht="22.5" customHeight="1">
      <c r="A65" s="1" t="b">
        <v>1</v>
      </c>
      <c r="B65" s="1">
        <f t="shared" si="1"/>
        <v>65</v>
      </c>
      <c r="C65" s="4" t="s">
        <v>344</v>
      </c>
      <c r="D65" s="12" t="s">
        <v>345</v>
      </c>
      <c r="E65" s="4"/>
      <c r="F65" s="12" t="s">
        <v>346</v>
      </c>
      <c r="G65" s="9" t="s">
        <v>65</v>
      </c>
      <c r="H65" s="4"/>
      <c r="I65" s="8" t="s">
        <v>66</v>
      </c>
      <c r="J65" s="6" t="s">
        <v>90</v>
      </c>
      <c r="K65" s="6"/>
      <c r="L65" s="6" t="str">
        <f>IFERROR(__xludf.DUMMYFUNCTION("JOIN("", "", IFERROR(FILTER(ROW(talentCollab:talentCollab), ISNUMBER(SEARCH(C65, talentCollab:talentCollab)), talentIndex:talentIndex=TRUE)))"),"")</f>
        <v/>
      </c>
    </row>
    <row r="66" ht="22.5" customHeight="1">
      <c r="A66" s="1" t="b">
        <v>0</v>
      </c>
      <c r="B66" s="1">
        <f t="shared" si="1"/>
        <v>66</v>
      </c>
      <c r="C66" s="4" t="s">
        <v>347</v>
      </c>
      <c r="D66" s="12" t="s">
        <v>348</v>
      </c>
      <c r="E66" s="4" t="s">
        <v>349</v>
      </c>
      <c r="F66" s="12" t="s">
        <v>350</v>
      </c>
      <c r="G66" s="9" t="s">
        <v>65</v>
      </c>
      <c r="H66" s="4"/>
      <c r="I66" s="8" t="s">
        <v>66</v>
      </c>
      <c r="J66" s="6" t="s">
        <v>90</v>
      </c>
      <c r="K66" s="6"/>
      <c r="L66" s="6" t="str">
        <f>IFERROR(__xludf.DUMMYFUNCTION("JOIN("", "", IFERROR(FILTER(ROW(talentCollab:talentCollab), ISNUMBER(SEARCH(C66, talentCollab:talentCollab)), talentIndex:talentIndex=TRUE)))"),"")</f>
        <v/>
      </c>
    </row>
    <row r="67" ht="22.5" customHeight="1">
      <c r="A67" s="1" t="b">
        <v>1</v>
      </c>
      <c r="B67" s="1">
        <f t="shared" si="1"/>
        <v>67</v>
      </c>
      <c r="C67" s="4" t="s">
        <v>351</v>
      </c>
      <c r="D67" s="12" t="s">
        <v>352</v>
      </c>
      <c r="E67" s="12" t="s">
        <v>353</v>
      </c>
      <c r="F67" s="4"/>
      <c r="G67" s="9" t="s">
        <v>65</v>
      </c>
      <c r="H67" s="4"/>
      <c r="I67" s="8" t="s">
        <v>66</v>
      </c>
      <c r="J67" s="6" t="s">
        <v>354</v>
      </c>
      <c r="K67" s="6"/>
      <c r="L67" s="6" t="str">
        <f>IFERROR(__xludf.DUMMYFUNCTION("JOIN("", "", IFERROR(FILTER(ROW(talentCollab:talentCollab), ISNUMBER(SEARCH(C67, talentCollab:talentCollab)), talentIndex:talentIndex=TRUE)))"),"12")</f>
        <v>12</v>
      </c>
    </row>
    <row r="68" ht="22.5" customHeight="1">
      <c r="A68" s="1" t="b">
        <v>0</v>
      </c>
      <c r="B68" s="1">
        <f t="shared" si="1"/>
        <v>68</v>
      </c>
      <c r="C68" s="4" t="s">
        <v>355</v>
      </c>
      <c r="D68" s="12" t="s">
        <v>356</v>
      </c>
      <c r="E68" s="12" t="s">
        <v>357</v>
      </c>
      <c r="F68" s="12" t="s">
        <v>358</v>
      </c>
      <c r="G68" s="9" t="s">
        <v>65</v>
      </c>
      <c r="H68" s="4"/>
      <c r="I68" s="8" t="s">
        <v>66</v>
      </c>
      <c r="J68" s="6" t="s">
        <v>178</v>
      </c>
      <c r="K68" s="6"/>
      <c r="L68" s="6" t="str">
        <f>IFERROR(__xludf.DUMMYFUNCTION("JOIN("", "", IFERROR(FILTER(ROW(talentCollab:talentCollab), ISNUMBER(SEARCH(C68, talentCollab:talentCollab)), talentIndex:talentIndex=TRUE)))"),"")</f>
        <v/>
      </c>
    </row>
    <row r="69" ht="22.5" customHeight="1">
      <c r="A69" s="1" t="b">
        <v>1</v>
      </c>
      <c r="B69" s="1">
        <f t="shared" si="1"/>
        <v>69</v>
      </c>
      <c r="C69" s="4" t="s">
        <v>359</v>
      </c>
      <c r="D69" s="12" t="s">
        <v>360</v>
      </c>
      <c r="E69" s="12" t="s">
        <v>361</v>
      </c>
      <c r="F69" s="12" t="s">
        <v>362</v>
      </c>
      <c r="G69" s="9" t="s">
        <v>65</v>
      </c>
      <c r="H69" s="4"/>
      <c r="I69" s="8" t="s">
        <v>66</v>
      </c>
      <c r="J69" s="6" t="s">
        <v>310</v>
      </c>
      <c r="K69" s="6"/>
      <c r="L69" s="6" t="str">
        <f>IFERROR(__xludf.DUMMYFUNCTION("JOIN("", "", IFERROR(FILTER(ROW(talentCollab:talentCollab), ISNUMBER(SEARCH(C69, talentCollab:talentCollab)), talentIndex:talentIndex=TRUE)))"),"")</f>
        <v/>
      </c>
    </row>
    <row r="70" ht="22.5" customHeight="1">
      <c r="A70" s="1" t="b">
        <v>0</v>
      </c>
      <c r="B70" s="1">
        <f t="shared" si="1"/>
        <v>70</v>
      </c>
      <c r="C70" s="4" t="s">
        <v>363</v>
      </c>
      <c r="D70" s="12" t="s">
        <v>364</v>
      </c>
      <c r="E70" s="12" t="s">
        <v>365</v>
      </c>
      <c r="F70" s="12" t="s">
        <v>366</v>
      </c>
      <c r="G70" s="9" t="s">
        <v>65</v>
      </c>
      <c r="H70" s="4"/>
      <c r="I70" s="8" t="s">
        <v>66</v>
      </c>
      <c r="J70" s="6" t="s">
        <v>90</v>
      </c>
      <c r="K70" s="6"/>
      <c r="L70" s="6" t="str">
        <f>IFERROR(__xludf.DUMMYFUNCTION("JOIN("", "", IFERROR(FILTER(ROW(talentCollab:talentCollab), ISNUMBER(SEARCH(C70, talentCollab:talentCollab)), talentIndex:talentIndex=TRUE)))"),"")</f>
        <v/>
      </c>
    </row>
    <row r="71" ht="22.5" customHeight="1">
      <c r="A71" s="1" t="b">
        <v>1</v>
      </c>
      <c r="B71" s="1">
        <f t="shared" si="1"/>
        <v>71</v>
      </c>
      <c r="C71" s="4" t="s">
        <v>367</v>
      </c>
      <c r="D71" s="12" t="s">
        <v>368</v>
      </c>
      <c r="E71" s="12" t="s">
        <v>369</v>
      </c>
      <c r="F71" s="4"/>
      <c r="G71" s="9" t="s">
        <v>65</v>
      </c>
      <c r="H71" s="4"/>
      <c r="I71" s="8" t="s">
        <v>66</v>
      </c>
      <c r="J71" s="6" t="s">
        <v>370</v>
      </c>
      <c r="K71" s="6"/>
      <c r="L71" s="6" t="str">
        <f>IFERROR(__xludf.DUMMYFUNCTION("JOIN("", "", IFERROR(FILTER(ROW(talentCollab:talentCollab), ISNUMBER(SEARCH(C71, talentCollab:talentCollab)), talentIndex:talentIndex=TRUE)))"),"12")</f>
        <v>12</v>
      </c>
    </row>
    <row r="72" ht="22.5" customHeight="1">
      <c r="A72" s="1" t="b">
        <v>1</v>
      </c>
      <c r="B72" s="1">
        <f t="shared" si="1"/>
        <v>72</v>
      </c>
      <c r="C72" s="4" t="s">
        <v>371</v>
      </c>
      <c r="D72" s="12" t="s">
        <v>372</v>
      </c>
      <c r="E72" s="12" t="s">
        <v>373</v>
      </c>
      <c r="F72" s="12" t="s">
        <v>374</v>
      </c>
      <c r="G72" s="9" t="s">
        <v>65</v>
      </c>
      <c r="H72" s="4"/>
      <c r="I72" s="8" t="s">
        <v>66</v>
      </c>
      <c r="J72" s="6" t="s">
        <v>99</v>
      </c>
      <c r="K72" s="6"/>
      <c r="L72" s="6" t="str">
        <f>IFERROR(__xludf.DUMMYFUNCTION("JOIN("", "", IFERROR(FILTER(ROW(talentCollab:talentCollab), ISNUMBER(SEARCH(C72, talentCollab:talentCollab)), talentIndex:talentIndex=TRUE)))"),"12")</f>
        <v>12</v>
      </c>
    </row>
    <row r="73" ht="22.5" customHeight="1">
      <c r="A73" s="1" t="b">
        <v>1</v>
      </c>
      <c r="B73" s="1">
        <f t="shared" si="1"/>
        <v>73</v>
      </c>
      <c r="C73" s="4" t="s">
        <v>375</v>
      </c>
      <c r="D73" s="12" t="s">
        <v>376</v>
      </c>
      <c r="E73" s="12" t="s">
        <v>377</v>
      </c>
      <c r="F73" s="12" t="s">
        <v>378</v>
      </c>
      <c r="G73" s="9" t="s">
        <v>65</v>
      </c>
      <c r="H73" s="4"/>
      <c r="I73" s="8" t="s">
        <v>66</v>
      </c>
      <c r="J73" s="6" t="s">
        <v>237</v>
      </c>
      <c r="K73" s="6"/>
      <c r="L73" s="6" t="str">
        <f>IFERROR(__xludf.DUMMYFUNCTION("JOIN("", "", IFERROR(FILTER(ROW(talentCollab:talentCollab), ISNUMBER(SEARCH(C73, talentCollab:talentCollab)), talentIndex:talentIndex=TRUE)))"),"")</f>
        <v/>
      </c>
    </row>
    <row r="74" ht="22.5" customHeight="1">
      <c r="A74" s="1" t="b">
        <v>1</v>
      </c>
      <c r="B74" s="1">
        <f t="shared" si="1"/>
        <v>74</v>
      </c>
      <c r="C74" s="4" t="s">
        <v>379</v>
      </c>
      <c r="D74" s="4"/>
      <c r="E74" s="12" t="s">
        <v>380</v>
      </c>
      <c r="F74" s="4"/>
      <c r="G74" s="9" t="s">
        <v>65</v>
      </c>
      <c r="H74" s="4"/>
      <c r="I74" s="8" t="s">
        <v>66</v>
      </c>
      <c r="J74" s="6" t="s">
        <v>381</v>
      </c>
      <c r="K74" s="6"/>
      <c r="L74" s="6" t="str">
        <f>IFERROR(__xludf.DUMMYFUNCTION("JOIN("", "", IFERROR(FILTER(ROW(talentCollab:talentCollab), ISNUMBER(SEARCH(C74, talentCollab:talentCollab)), talentIndex:talentIndex=TRUE)))"),"")</f>
        <v/>
      </c>
    </row>
    <row r="75" ht="22.5" customHeight="1">
      <c r="A75" s="1" t="b">
        <v>0</v>
      </c>
      <c r="B75" s="1">
        <f t="shared" si="1"/>
        <v>75</v>
      </c>
      <c r="C75" s="4" t="s">
        <v>382</v>
      </c>
      <c r="D75" s="4"/>
      <c r="E75" s="4"/>
      <c r="F75" s="4"/>
      <c r="G75" s="9" t="s">
        <v>65</v>
      </c>
      <c r="H75" s="4"/>
      <c r="I75" s="8"/>
      <c r="J75" s="6"/>
      <c r="K75" s="6"/>
      <c r="L75" s="6" t="str">
        <f>IFERROR(__xludf.DUMMYFUNCTION("JOIN("", "", IFERROR(FILTER(ROW(talentCollab:talentCollab), ISNUMBER(SEARCH(C75, talentCollab:talentCollab)), talentIndex:talentIndex=TRUE)))"),"")</f>
        <v/>
      </c>
    </row>
    <row r="76" ht="22.5" customHeight="1">
      <c r="A76" s="1" t="b">
        <v>0</v>
      </c>
      <c r="B76" s="1">
        <f t="shared" si="1"/>
        <v>76</v>
      </c>
      <c r="C76" s="4"/>
      <c r="D76" s="4"/>
      <c r="E76" s="4"/>
      <c r="F76" s="4"/>
      <c r="G76" s="9" t="s">
        <v>65</v>
      </c>
      <c r="H76" s="4"/>
      <c r="I76" s="8"/>
      <c r="J76" s="6"/>
      <c r="K76" s="6"/>
      <c r="L76" s="6" t="str">
        <f>IFERROR(__xludf.DUMMYFUNCTION("JOIN("", "", IFERROR(FILTER(ROW(talentCollab:talentCollab), ISNUMBER(SEARCH(C76, talentCollab:talentCollab)), talentIndex:talentIndex=TRUE)))"),"12")</f>
        <v>12</v>
      </c>
    </row>
    <row r="77" ht="22.5" customHeight="1">
      <c r="A77" s="14" t="b">
        <v>0</v>
      </c>
      <c r="B77" s="14">
        <f t="shared" si="1"/>
        <v>77</v>
      </c>
      <c r="C77" s="15"/>
      <c r="D77" s="15"/>
      <c r="E77" s="15"/>
      <c r="F77" s="15"/>
      <c r="G77" s="21"/>
      <c r="H77" s="15"/>
      <c r="I77" s="18"/>
      <c r="J77" s="20"/>
      <c r="K77" s="20"/>
      <c r="L77" s="20" t="str">
        <f>IFERROR(__xludf.DUMMYFUNCTION("JOIN("", "", IFERROR(FILTER(ROW(talentCollab:talentCollab), ISNUMBER(SEARCH(C77, talentCollab:talentCollab)), talentIndex:talentIndex=TRUE)))"),"12")</f>
        <v>12</v>
      </c>
    </row>
    <row r="78" ht="22.5" customHeight="1">
      <c r="A78" s="1" t="b">
        <v>1</v>
      </c>
      <c r="B78" s="1">
        <f t="shared" si="1"/>
        <v>78</v>
      </c>
      <c r="C78" s="4" t="s">
        <v>383</v>
      </c>
      <c r="D78" s="12" t="s">
        <v>384</v>
      </c>
      <c r="E78" s="12" t="s">
        <v>385</v>
      </c>
      <c r="F78" s="12" t="s">
        <v>386</v>
      </c>
      <c r="G78" s="9" t="s">
        <v>61</v>
      </c>
      <c r="H78" s="4"/>
      <c r="I78" s="8" t="s">
        <v>387</v>
      </c>
      <c r="J78" s="6" t="s">
        <v>388</v>
      </c>
      <c r="K78" s="6"/>
      <c r="L78" s="6" t="str">
        <f>IFERROR(__xludf.DUMMYFUNCTION("JOIN("", "", IFERROR(FILTER(ROW(talentCollab:talentCollab), ISNUMBER(SEARCH(C78, talentCollab:talentCollab)), talentIndex:talentIndex=TRUE)))"),"")</f>
        <v/>
      </c>
    </row>
    <row r="79" ht="22.5" customHeight="1">
      <c r="A79" s="1" t="b">
        <v>0</v>
      </c>
      <c r="B79" s="1">
        <f t="shared" si="1"/>
        <v>79</v>
      </c>
      <c r="C79" s="4" t="s">
        <v>389</v>
      </c>
      <c r="D79" s="12" t="s">
        <v>390</v>
      </c>
      <c r="E79" s="4"/>
      <c r="F79" s="12" t="s">
        <v>391</v>
      </c>
      <c r="G79" s="9" t="s">
        <v>61</v>
      </c>
      <c r="H79" s="4"/>
      <c r="I79" s="8" t="s">
        <v>62</v>
      </c>
      <c r="J79" s="6" t="s">
        <v>322</v>
      </c>
      <c r="K79" s="6"/>
      <c r="L79" s="6" t="str">
        <f>IFERROR(__xludf.DUMMYFUNCTION("JOIN("", "", IFERROR(FILTER(ROW(talentCollab:talentCollab), ISNUMBER(SEARCH(C79, talentCollab:talentCollab)), talentIndex:talentIndex=TRUE)))"),"")</f>
        <v/>
      </c>
    </row>
    <row r="80" ht="22.5" customHeight="1">
      <c r="A80" s="1" t="b">
        <v>0</v>
      </c>
      <c r="B80" s="1">
        <f t="shared" si="1"/>
        <v>80</v>
      </c>
      <c r="C80" s="4" t="s">
        <v>392</v>
      </c>
      <c r="D80" s="12" t="s">
        <v>393</v>
      </c>
      <c r="E80" s="12" t="s">
        <v>394</v>
      </c>
      <c r="F80" s="4"/>
      <c r="G80" s="9" t="s">
        <v>61</v>
      </c>
      <c r="H80" s="4"/>
      <c r="I80" s="8" t="s">
        <v>62</v>
      </c>
      <c r="J80" s="6" t="s">
        <v>178</v>
      </c>
      <c r="K80" s="6"/>
      <c r="L80" s="6" t="str">
        <f>IFERROR(__xludf.DUMMYFUNCTION("JOIN("", "", IFERROR(FILTER(ROW(talentCollab:talentCollab), ISNUMBER(SEARCH(C80, talentCollab:talentCollab)), talentIndex:talentIndex=TRUE)))"),"")</f>
        <v/>
      </c>
    </row>
    <row r="81" ht="22.5" customHeight="1">
      <c r="A81" s="1" t="b">
        <v>0</v>
      </c>
      <c r="B81" s="1">
        <f t="shared" si="1"/>
        <v>81</v>
      </c>
      <c r="C81" s="4" t="s">
        <v>395</v>
      </c>
      <c r="D81" s="4"/>
      <c r="E81" s="4"/>
      <c r="F81" s="4"/>
      <c r="G81" s="9" t="s">
        <v>61</v>
      </c>
      <c r="H81" s="4"/>
      <c r="I81" s="8" t="s">
        <v>62</v>
      </c>
      <c r="J81" s="6" t="s">
        <v>343</v>
      </c>
      <c r="K81" s="6"/>
      <c r="L81" s="6" t="str">
        <f>IFERROR(__xludf.DUMMYFUNCTION("JOIN("", "", IFERROR(FILTER(ROW(talentCollab:talentCollab), ISNUMBER(SEARCH(C81, talentCollab:talentCollab)), talentIndex:talentIndex=TRUE)))"),"")</f>
        <v/>
      </c>
    </row>
    <row r="82" ht="22.5" customHeight="1">
      <c r="A82" s="1" t="b">
        <v>0</v>
      </c>
      <c r="B82" s="1">
        <f t="shared" si="1"/>
        <v>82</v>
      </c>
      <c r="C82" s="4" t="s">
        <v>396</v>
      </c>
      <c r="D82" s="12" t="s">
        <v>397</v>
      </c>
      <c r="E82" s="12" t="s">
        <v>398</v>
      </c>
      <c r="F82" s="4"/>
      <c r="G82" s="9" t="s">
        <v>61</v>
      </c>
      <c r="H82" s="4"/>
      <c r="I82" s="8" t="s">
        <v>62</v>
      </c>
      <c r="J82" s="6" t="s">
        <v>178</v>
      </c>
      <c r="K82" s="6"/>
      <c r="L82" s="6" t="str">
        <f>IFERROR(__xludf.DUMMYFUNCTION("JOIN("", "", IFERROR(FILTER(ROW(talentCollab:talentCollab), ISNUMBER(SEARCH(C82, talentCollab:talentCollab)), talentIndex:talentIndex=TRUE)))"),"")</f>
        <v/>
      </c>
    </row>
    <row r="83" ht="22.5" customHeight="1">
      <c r="A83" s="1" t="b">
        <v>1</v>
      </c>
      <c r="B83" s="1">
        <f t="shared" si="1"/>
        <v>83</v>
      </c>
      <c r="C83" s="4" t="s">
        <v>399</v>
      </c>
      <c r="D83" s="12" t="s">
        <v>400</v>
      </c>
      <c r="E83" s="12" t="s">
        <v>401</v>
      </c>
      <c r="F83" s="4"/>
      <c r="G83" s="9" t="s">
        <v>61</v>
      </c>
      <c r="H83" s="4"/>
      <c r="I83" s="8" t="s">
        <v>62</v>
      </c>
      <c r="J83" s="6" t="s">
        <v>402</v>
      </c>
      <c r="K83" s="6"/>
      <c r="L83" s="6" t="str">
        <f>IFERROR(__xludf.DUMMYFUNCTION("JOIN("", "", IFERROR(FILTER(ROW(talentCollab:talentCollab), ISNUMBER(SEARCH(C83, talentCollab:talentCollab)), talentIndex:talentIndex=TRUE)))"),"")</f>
        <v/>
      </c>
    </row>
    <row r="84" ht="22.5" customHeight="1">
      <c r="A84" s="1" t="b">
        <v>1</v>
      </c>
      <c r="B84" s="1">
        <f t="shared" si="1"/>
        <v>84</v>
      </c>
      <c r="C84" s="4" t="s">
        <v>403</v>
      </c>
      <c r="D84" s="12" t="s">
        <v>404</v>
      </c>
      <c r="E84" s="12" t="s">
        <v>405</v>
      </c>
      <c r="F84" s="4"/>
      <c r="G84" s="9" t="s">
        <v>61</v>
      </c>
      <c r="H84" s="4"/>
      <c r="I84" s="8" t="s">
        <v>62</v>
      </c>
      <c r="J84" s="6" t="s">
        <v>343</v>
      </c>
      <c r="K84" s="6"/>
      <c r="L84" s="6" t="str">
        <f>IFERROR(__xludf.DUMMYFUNCTION("JOIN("", "", IFERROR(FILTER(ROW(talentCollab:talentCollab), ISNUMBER(SEARCH(C84, talentCollab:talentCollab)), talentIndex:talentIndex=TRUE)))"),"")</f>
        <v/>
      </c>
    </row>
    <row r="85" ht="22.5" customHeight="1">
      <c r="A85" s="1" t="b">
        <v>1</v>
      </c>
      <c r="B85" s="1">
        <f t="shared" si="1"/>
        <v>85</v>
      </c>
      <c r="C85" s="4" t="s">
        <v>406</v>
      </c>
      <c r="D85" s="12" t="s">
        <v>407</v>
      </c>
      <c r="E85" s="12" t="s">
        <v>408</v>
      </c>
      <c r="F85" s="4"/>
      <c r="G85" s="9" t="s">
        <v>61</v>
      </c>
      <c r="H85" s="4"/>
      <c r="I85" s="8" t="s">
        <v>62</v>
      </c>
      <c r="J85" s="6" t="s">
        <v>209</v>
      </c>
      <c r="K85" s="6"/>
      <c r="L85" s="6" t="str">
        <f>IFERROR(__xludf.DUMMYFUNCTION("JOIN("", "", IFERROR(FILTER(ROW(talentCollab:talentCollab), ISNUMBER(SEARCH(C85, talentCollab:talentCollab)), talentIndex:talentIndex=TRUE)))"),"12")</f>
        <v>12</v>
      </c>
    </row>
    <row r="86" ht="22.5" customHeight="1">
      <c r="A86" s="1" t="b">
        <v>0</v>
      </c>
      <c r="B86" s="1">
        <f t="shared" si="1"/>
        <v>86</v>
      </c>
      <c r="C86" s="4" t="s">
        <v>409</v>
      </c>
      <c r="D86" s="12" t="s">
        <v>410</v>
      </c>
      <c r="E86" s="12" t="s">
        <v>411</v>
      </c>
      <c r="F86" s="4"/>
      <c r="G86" s="9" t="s">
        <v>61</v>
      </c>
      <c r="H86" s="4"/>
      <c r="I86" s="8" t="s">
        <v>62</v>
      </c>
      <c r="J86" s="6" t="s">
        <v>178</v>
      </c>
      <c r="K86" s="6"/>
      <c r="L86" s="6" t="str">
        <f>IFERROR(__xludf.DUMMYFUNCTION("JOIN("", "", IFERROR(FILTER(ROW(talentCollab:talentCollab), ISNUMBER(SEARCH(C86, talentCollab:talentCollab)), talentIndex:talentIndex=TRUE)))"),"")</f>
        <v/>
      </c>
    </row>
    <row r="87" ht="22.5" customHeight="1">
      <c r="A87" s="14" t="b">
        <v>0</v>
      </c>
      <c r="B87" s="14">
        <f t="shared" si="1"/>
        <v>87</v>
      </c>
      <c r="C87" s="15" t="s">
        <v>412</v>
      </c>
      <c r="D87" s="15"/>
      <c r="E87" s="15"/>
      <c r="F87" s="15"/>
      <c r="G87" s="17" t="s">
        <v>61</v>
      </c>
      <c r="H87" s="15"/>
      <c r="I87" s="18" t="s">
        <v>62</v>
      </c>
      <c r="J87" s="20" t="s">
        <v>178</v>
      </c>
      <c r="K87" s="20"/>
      <c r="L87" s="20" t="str">
        <f>IFERROR(__xludf.DUMMYFUNCTION("JOIN("", "", IFERROR(FILTER(ROW(talentCollab:talentCollab), ISNUMBER(SEARCH(C87, talentCollab:talentCollab)), talentIndex:talentIndex=TRUE)))"),"")</f>
        <v/>
      </c>
    </row>
    <row r="88" ht="22.5" customHeight="1">
      <c r="A88" s="1" t="b">
        <v>1</v>
      </c>
      <c r="B88" s="1">
        <f t="shared" si="1"/>
        <v>88</v>
      </c>
      <c r="C88" s="4" t="s">
        <v>413</v>
      </c>
      <c r="D88" s="12" t="s">
        <v>414</v>
      </c>
      <c r="E88" s="12" t="s">
        <v>415</v>
      </c>
      <c r="F88" s="12" t="s">
        <v>416</v>
      </c>
      <c r="G88" s="9" t="s">
        <v>41</v>
      </c>
      <c r="H88" s="4" t="s">
        <v>42</v>
      </c>
      <c r="I88" s="8" t="s">
        <v>66</v>
      </c>
      <c r="J88" s="6" t="s">
        <v>310</v>
      </c>
      <c r="K88" s="6"/>
      <c r="L88" s="6" t="str">
        <f>IFERROR(__xludf.DUMMYFUNCTION("JOIN("", "", IFERROR(FILTER(ROW(talentCollab:talentCollab), ISNUMBER(SEARCH(C88, talentCollab:talentCollab)), talentIndex:talentIndex=TRUE)))"),"")</f>
        <v/>
      </c>
    </row>
    <row r="89" ht="22.5" customHeight="1">
      <c r="A89" s="1" t="b">
        <v>1</v>
      </c>
      <c r="B89" s="1">
        <f t="shared" si="1"/>
        <v>89</v>
      </c>
      <c r="C89" s="4" t="s">
        <v>417</v>
      </c>
      <c r="D89" s="12" t="s">
        <v>418</v>
      </c>
      <c r="E89" s="12" t="s">
        <v>419</v>
      </c>
      <c r="F89" s="12" t="s">
        <v>420</v>
      </c>
      <c r="G89" s="9" t="s">
        <v>41</v>
      </c>
      <c r="H89" s="4" t="s">
        <v>42</v>
      </c>
      <c r="I89" s="8" t="s">
        <v>66</v>
      </c>
      <c r="J89" s="6" t="s">
        <v>90</v>
      </c>
      <c r="K89" s="6"/>
      <c r="L89" s="6" t="str">
        <f>IFERROR(__xludf.DUMMYFUNCTION("JOIN("", "", IFERROR(FILTER(ROW(talentCollab:talentCollab), ISNUMBER(SEARCH(C89, talentCollab:talentCollab)), talentIndex:talentIndex=TRUE)))"),"")</f>
        <v/>
      </c>
    </row>
    <row r="90" ht="22.5" customHeight="1">
      <c r="A90" s="1" t="b">
        <v>1</v>
      </c>
      <c r="B90" s="1">
        <f t="shared" si="1"/>
        <v>90</v>
      </c>
      <c r="C90" s="4" t="s">
        <v>421</v>
      </c>
      <c r="D90" s="12" t="s">
        <v>422</v>
      </c>
      <c r="E90" s="12" t="s">
        <v>423</v>
      </c>
      <c r="F90" s="12" t="s">
        <v>424</v>
      </c>
      <c r="G90" s="9" t="s">
        <v>41</v>
      </c>
      <c r="H90" s="4" t="s">
        <v>42</v>
      </c>
      <c r="I90" s="8" t="s">
        <v>66</v>
      </c>
      <c r="J90" s="6" t="s">
        <v>90</v>
      </c>
      <c r="K90" s="6"/>
      <c r="L90" s="6" t="str">
        <f>IFERROR(__xludf.DUMMYFUNCTION("JOIN("", "", IFERROR(FILTER(ROW(talentCollab:talentCollab), ISNUMBER(SEARCH(C90, talentCollab:talentCollab)), talentIndex:talentIndex=TRUE)))"),"")</f>
        <v/>
      </c>
    </row>
    <row r="91" ht="22.5" customHeight="1">
      <c r="A91" s="14" t="b">
        <v>1</v>
      </c>
      <c r="B91" s="14">
        <f t="shared" si="1"/>
        <v>91</v>
      </c>
      <c r="C91" s="15" t="s">
        <v>425</v>
      </c>
      <c r="D91" s="16" t="s">
        <v>426</v>
      </c>
      <c r="E91" s="16" t="s">
        <v>427</v>
      </c>
      <c r="F91" s="16" t="s">
        <v>428</v>
      </c>
      <c r="G91" s="17" t="s">
        <v>41</v>
      </c>
      <c r="H91" s="15" t="s">
        <v>42</v>
      </c>
      <c r="I91" s="18" t="s">
        <v>66</v>
      </c>
      <c r="J91" s="20" t="s">
        <v>429</v>
      </c>
      <c r="K91" s="20"/>
      <c r="L91" s="20" t="str">
        <f>IFERROR(__xludf.DUMMYFUNCTION("JOIN("", "", IFERROR(FILTER(ROW(talentCollab:talentCollab), ISNUMBER(SEARCH(C91, talentCollab:talentCollab)), talentIndex:talentIndex=TRUE)))"),"")</f>
        <v/>
      </c>
    </row>
    <row r="92" ht="22.5" customHeight="1">
      <c r="A92" s="1" t="b">
        <v>1</v>
      </c>
      <c r="B92" s="1">
        <f t="shared" si="1"/>
        <v>92</v>
      </c>
      <c r="C92" s="4" t="s">
        <v>430</v>
      </c>
      <c r="D92" s="12" t="s">
        <v>431</v>
      </c>
      <c r="E92" s="12" t="s">
        <v>432</v>
      </c>
      <c r="F92" s="12" t="s">
        <v>433</v>
      </c>
      <c r="G92" s="9" t="s">
        <v>31</v>
      </c>
      <c r="H92" s="4" t="s">
        <v>37</v>
      </c>
      <c r="I92" s="8"/>
      <c r="J92" s="6" t="s">
        <v>90</v>
      </c>
      <c r="K92" s="6"/>
      <c r="L92" s="6" t="str">
        <f>IFERROR(__xludf.DUMMYFUNCTION("JOIN("", "", IFERROR(FILTER(ROW(talentCollab:talentCollab), ISNUMBER(SEARCH(C92, talentCollab:talentCollab)), talentIndex:talentIndex=TRUE)))"),"")</f>
        <v/>
      </c>
    </row>
    <row r="93" ht="22.5" customHeight="1">
      <c r="A93" s="1" t="b">
        <v>1</v>
      </c>
      <c r="B93" s="1">
        <f t="shared" si="1"/>
        <v>93</v>
      </c>
      <c r="C93" s="4" t="s">
        <v>434</v>
      </c>
      <c r="D93" s="13" t="s">
        <v>435</v>
      </c>
      <c r="E93" s="12" t="s">
        <v>436</v>
      </c>
      <c r="F93" s="13" t="s">
        <v>437</v>
      </c>
      <c r="G93" s="9" t="s">
        <v>31</v>
      </c>
      <c r="H93" s="4" t="s">
        <v>37</v>
      </c>
      <c r="I93" s="8"/>
      <c r="J93" s="6" t="s">
        <v>90</v>
      </c>
      <c r="K93" s="6"/>
      <c r="L93" s="6" t="str">
        <f>IFERROR(__xludf.DUMMYFUNCTION("JOIN("", "", IFERROR(FILTER(ROW(talentCollab:talentCollab), ISNUMBER(SEARCH(C93, talentCollab:talentCollab)), talentIndex:talentIndex=TRUE)))"),"")</f>
        <v/>
      </c>
    </row>
    <row r="94" ht="22.5" customHeight="1">
      <c r="A94" s="14" t="b">
        <v>1</v>
      </c>
      <c r="B94" s="14">
        <f t="shared" si="1"/>
        <v>94</v>
      </c>
      <c r="C94" s="15" t="s">
        <v>438</v>
      </c>
      <c r="D94" s="16" t="s">
        <v>439</v>
      </c>
      <c r="E94" s="15"/>
      <c r="F94" s="16" t="s">
        <v>440</v>
      </c>
      <c r="G94" s="17" t="s">
        <v>31</v>
      </c>
      <c r="H94" s="15" t="s">
        <v>37</v>
      </c>
      <c r="I94" s="18"/>
      <c r="J94" s="20" t="s">
        <v>90</v>
      </c>
      <c r="K94" s="20"/>
      <c r="L94" s="20" t="str">
        <f>IFERROR(__xludf.DUMMYFUNCTION("JOIN("", "", IFERROR(FILTER(ROW(talentCollab:talentCollab), ISNUMBER(SEARCH(C94, talentCollab:talentCollab)), talentIndex:talentIndex=TRUE)))"),"")</f>
        <v/>
      </c>
    </row>
    <row r="95" ht="22.5" customHeight="1">
      <c r="A95" s="1" t="b">
        <v>1</v>
      </c>
      <c r="B95" s="1">
        <f t="shared" si="1"/>
        <v>95</v>
      </c>
      <c r="C95" s="4" t="s">
        <v>441</v>
      </c>
      <c r="D95" s="12" t="s">
        <v>442</v>
      </c>
      <c r="E95" s="12" t="s">
        <v>443</v>
      </c>
      <c r="F95" s="12" t="s">
        <v>444</v>
      </c>
      <c r="G95" s="9" t="s">
        <v>31</v>
      </c>
      <c r="H95" s="4" t="s">
        <v>36</v>
      </c>
      <c r="I95" s="8"/>
      <c r="J95" s="6" t="s">
        <v>90</v>
      </c>
      <c r="K95" s="6"/>
      <c r="L95" s="6" t="str">
        <f>IFERROR(__xludf.DUMMYFUNCTION("JOIN("", "", IFERROR(FILTER(ROW(talentCollab:talentCollab), ISNUMBER(SEARCH(C95, talentCollab:talentCollab)), talentIndex:talentIndex=TRUE)))"),"")</f>
        <v/>
      </c>
    </row>
    <row r="96" ht="22.5" customHeight="1">
      <c r="A96" s="1" t="b">
        <v>1</v>
      </c>
      <c r="B96" s="1">
        <f t="shared" si="1"/>
        <v>96</v>
      </c>
      <c r="C96" s="4" t="s">
        <v>445</v>
      </c>
      <c r="D96" s="12" t="s">
        <v>446</v>
      </c>
      <c r="E96" s="4"/>
      <c r="F96" s="12" t="s">
        <v>447</v>
      </c>
      <c r="G96" s="9" t="s">
        <v>31</v>
      </c>
      <c r="H96" s="4" t="s">
        <v>36</v>
      </c>
      <c r="I96" s="8"/>
      <c r="J96" s="6" t="s">
        <v>90</v>
      </c>
      <c r="K96" s="6"/>
      <c r="L96" s="6" t="str">
        <f>IFERROR(__xludf.DUMMYFUNCTION("JOIN("", "", IFERROR(FILTER(ROW(talentCollab:talentCollab), ISNUMBER(SEARCH(C96, talentCollab:talentCollab)), talentIndex:talentIndex=TRUE)))"),"")</f>
        <v/>
      </c>
    </row>
    <row r="97" ht="22.5" customHeight="1">
      <c r="A97" s="1" t="b">
        <v>1</v>
      </c>
      <c r="B97" s="1">
        <f t="shared" si="1"/>
        <v>97</v>
      </c>
      <c r="C97" s="4" t="s">
        <v>448</v>
      </c>
      <c r="D97" s="12" t="s">
        <v>449</v>
      </c>
      <c r="E97" s="4"/>
      <c r="F97" s="12" t="s">
        <v>450</v>
      </c>
      <c r="G97" s="9" t="s">
        <v>31</v>
      </c>
      <c r="H97" s="4" t="s">
        <v>36</v>
      </c>
      <c r="I97" s="8"/>
      <c r="J97" s="6" t="s">
        <v>90</v>
      </c>
      <c r="K97" s="6"/>
      <c r="L97" s="6" t="str">
        <f>IFERROR(__xludf.DUMMYFUNCTION("JOIN("", "", IFERROR(FILTER(ROW(talentCollab:talentCollab), ISNUMBER(SEARCH(C97, talentCollab:talentCollab)), talentIndex:talentIndex=TRUE)))"),"")</f>
        <v/>
      </c>
    </row>
    <row r="98" ht="22.5" customHeight="1">
      <c r="A98" s="1" t="b">
        <v>1</v>
      </c>
      <c r="B98" s="1">
        <f t="shared" si="1"/>
        <v>98</v>
      </c>
      <c r="C98" s="4" t="s">
        <v>451</v>
      </c>
      <c r="D98" s="12" t="s">
        <v>452</v>
      </c>
      <c r="E98" s="4"/>
      <c r="F98" s="12" t="s">
        <v>453</v>
      </c>
      <c r="G98" s="9" t="s">
        <v>31</v>
      </c>
      <c r="H98" s="4" t="s">
        <v>36</v>
      </c>
      <c r="I98" s="8"/>
      <c r="J98" s="6" t="s">
        <v>90</v>
      </c>
      <c r="K98" s="6"/>
      <c r="L98" s="6" t="str">
        <f>IFERROR(__xludf.DUMMYFUNCTION("JOIN("", "", IFERROR(FILTER(ROW(talentCollab:talentCollab), ISNUMBER(SEARCH(C98, talentCollab:talentCollab)), talentIndex:talentIndex=TRUE)))"),"")</f>
        <v/>
      </c>
    </row>
    <row r="99" ht="22.5" customHeight="1">
      <c r="A99" s="14" t="b">
        <v>1</v>
      </c>
      <c r="B99" s="14">
        <f t="shared" si="1"/>
        <v>99</v>
      </c>
      <c r="C99" s="15" t="s">
        <v>454</v>
      </c>
      <c r="D99" s="16" t="s">
        <v>452</v>
      </c>
      <c r="E99" s="15"/>
      <c r="F99" s="16" t="s">
        <v>455</v>
      </c>
      <c r="G99" s="17" t="s">
        <v>31</v>
      </c>
      <c r="H99" s="15" t="s">
        <v>36</v>
      </c>
      <c r="I99" s="18"/>
      <c r="J99" s="20" t="s">
        <v>90</v>
      </c>
      <c r="K99" s="20"/>
      <c r="L99" s="20" t="str">
        <f>IFERROR(__xludf.DUMMYFUNCTION("JOIN("", "", IFERROR(FILTER(ROW(talentCollab:talentCollab), ISNUMBER(SEARCH(C99, talentCollab:talentCollab)), talentIndex:talentIndex=TRUE)))"),"")</f>
        <v/>
      </c>
    </row>
    <row r="100" ht="22.5" customHeight="1">
      <c r="A100" s="1" t="b">
        <v>1</v>
      </c>
      <c r="B100" s="1">
        <f t="shared" si="1"/>
        <v>100</v>
      </c>
      <c r="C100" s="4" t="s">
        <v>456</v>
      </c>
      <c r="D100" s="12" t="s">
        <v>457</v>
      </c>
      <c r="E100" s="12" t="s">
        <v>458</v>
      </c>
      <c r="F100" s="12" t="s">
        <v>459</v>
      </c>
      <c r="G100" s="9" t="s">
        <v>31</v>
      </c>
      <c r="H100" s="4" t="s">
        <v>39</v>
      </c>
      <c r="I100" s="8"/>
      <c r="J100" s="6" t="s">
        <v>90</v>
      </c>
      <c r="K100" s="6"/>
      <c r="L100" s="6" t="str">
        <f>IFERROR(__xludf.DUMMYFUNCTION("JOIN("", "", IFERROR(FILTER(ROW(talentCollab:talentCollab), ISNUMBER(SEARCH(C100, talentCollab:talentCollab)), talentIndex:talentIndex=TRUE)))"),"")</f>
        <v/>
      </c>
    </row>
    <row r="101" ht="22.5" customHeight="1">
      <c r="A101" s="1" t="b">
        <v>1</v>
      </c>
      <c r="B101" s="1">
        <f t="shared" si="1"/>
        <v>101</v>
      </c>
      <c r="C101" s="4" t="s">
        <v>460</v>
      </c>
      <c r="D101" s="12" t="s">
        <v>461</v>
      </c>
      <c r="E101" s="4"/>
      <c r="F101" s="12" t="s">
        <v>462</v>
      </c>
      <c r="G101" s="9" t="s">
        <v>31</v>
      </c>
      <c r="H101" s="4" t="s">
        <v>39</v>
      </c>
      <c r="I101" s="8"/>
      <c r="J101" s="6" t="s">
        <v>90</v>
      </c>
      <c r="K101" s="6"/>
      <c r="L101" s="6" t="str">
        <f>IFERROR(__xludf.DUMMYFUNCTION("JOIN("", "", IFERROR(FILTER(ROW(talentCollab:talentCollab), ISNUMBER(SEARCH(C101, talentCollab:talentCollab)), talentIndex:talentIndex=TRUE)))"),"")</f>
        <v/>
      </c>
    </row>
    <row r="102" ht="22.5" customHeight="1">
      <c r="A102" s="1" t="b">
        <v>1</v>
      </c>
      <c r="B102" s="1">
        <f t="shared" si="1"/>
        <v>102</v>
      </c>
      <c r="C102" s="4" t="s">
        <v>463</v>
      </c>
      <c r="D102" s="12" t="s">
        <v>464</v>
      </c>
      <c r="E102" s="4"/>
      <c r="F102" s="12" t="s">
        <v>465</v>
      </c>
      <c r="G102" s="9" t="s">
        <v>31</v>
      </c>
      <c r="H102" s="4" t="s">
        <v>39</v>
      </c>
      <c r="I102" s="8"/>
      <c r="J102" s="6" t="s">
        <v>90</v>
      </c>
      <c r="K102" s="6"/>
      <c r="L102" s="6" t="str">
        <f>IFERROR(__xludf.DUMMYFUNCTION("JOIN("", "", IFERROR(FILTER(ROW(talentCollab:talentCollab), ISNUMBER(SEARCH(C102, talentCollab:talentCollab)), talentIndex:talentIndex=TRUE)))"),"")</f>
        <v/>
      </c>
    </row>
    <row r="103" ht="22.5" customHeight="1">
      <c r="A103" s="14" t="b">
        <v>1</v>
      </c>
      <c r="B103" s="14">
        <f t="shared" si="1"/>
        <v>103</v>
      </c>
      <c r="C103" s="15" t="s">
        <v>466</v>
      </c>
      <c r="D103" s="16" t="s">
        <v>467</v>
      </c>
      <c r="E103" s="15"/>
      <c r="F103" s="16" t="s">
        <v>468</v>
      </c>
      <c r="G103" s="17" t="s">
        <v>31</v>
      </c>
      <c r="H103" s="15" t="s">
        <v>39</v>
      </c>
      <c r="I103" s="18"/>
      <c r="J103" s="20" t="s">
        <v>90</v>
      </c>
      <c r="K103" s="20"/>
      <c r="L103" s="20" t="str">
        <f>IFERROR(__xludf.DUMMYFUNCTION("JOIN("", "", IFERROR(FILTER(ROW(talentCollab:talentCollab), ISNUMBER(SEARCH(C103, talentCollab:talentCollab)), talentIndex:talentIndex=TRUE)))"),"")</f>
        <v/>
      </c>
    </row>
    <row r="104" ht="22.5" customHeight="1">
      <c r="A104" s="1" t="b">
        <v>1</v>
      </c>
      <c r="B104" s="1">
        <f t="shared" si="1"/>
        <v>104</v>
      </c>
      <c r="C104" s="4" t="s">
        <v>469</v>
      </c>
      <c r="D104" s="12" t="s">
        <v>470</v>
      </c>
      <c r="E104" s="12" t="s">
        <v>471</v>
      </c>
      <c r="F104" s="12" t="s">
        <v>472</v>
      </c>
      <c r="G104" s="9" t="s">
        <v>31</v>
      </c>
      <c r="H104" s="4" t="s">
        <v>34</v>
      </c>
      <c r="I104" s="8" t="s">
        <v>64</v>
      </c>
      <c r="J104" s="6" t="s">
        <v>90</v>
      </c>
      <c r="K104" s="6"/>
      <c r="L104" s="6" t="str">
        <f>IFERROR(__xludf.DUMMYFUNCTION("JOIN("", "", IFERROR(FILTER(ROW(talentCollab:talentCollab), ISNUMBER(SEARCH(C104, talentCollab:talentCollab)), talentIndex:talentIndex=TRUE)))"),"")</f>
        <v/>
      </c>
    </row>
    <row r="105" ht="22.5" customHeight="1">
      <c r="A105" s="1" t="b">
        <v>1</v>
      </c>
      <c r="B105" s="1">
        <f t="shared" si="1"/>
        <v>105</v>
      </c>
      <c r="C105" s="4" t="s">
        <v>473</v>
      </c>
      <c r="D105" s="12" t="s">
        <v>474</v>
      </c>
      <c r="E105" s="12" t="s">
        <v>475</v>
      </c>
      <c r="F105" s="12" t="s">
        <v>476</v>
      </c>
      <c r="G105" s="9" t="s">
        <v>31</v>
      </c>
      <c r="H105" s="4" t="s">
        <v>34</v>
      </c>
      <c r="I105" s="8" t="s">
        <v>64</v>
      </c>
      <c r="J105" s="6" t="s">
        <v>90</v>
      </c>
      <c r="K105" s="6"/>
      <c r="L105" s="6" t="str">
        <f>IFERROR(__xludf.DUMMYFUNCTION("JOIN("", "", IFERROR(FILTER(ROW(talentCollab:talentCollab), ISNUMBER(SEARCH(C105, talentCollab:talentCollab)), talentIndex:talentIndex=TRUE)))"),"")</f>
        <v/>
      </c>
    </row>
    <row r="106" ht="22.5" customHeight="1">
      <c r="A106" s="1" t="b">
        <v>1</v>
      </c>
      <c r="B106" s="1">
        <f t="shared" si="1"/>
        <v>106</v>
      </c>
      <c r="C106" s="4" t="s">
        <v>477</v>
      </c>
      <c r="D106" s="12" t="s">
        <v>478</v>
      </c>
      <c r="E106" s="4"/>
      <c r="F106" s="12" t="s">
        <v>479</v>
      </c>
      <c r="G106" s="9" t="s">
        <v>31</v>
      </c>
      <c r="H106" s="4" t="s">
        <v>34</v>
      </c>
      <c r="I106" s="8" t="s">
        <v>64</v>
      </c>
      <c r="J106" s="6" t="s">
        <v>90</v>
      </c>
      <c r="K106" s="6"/>
      <c r="L106" s="6" t="str">
        <f>IFERROR(__xludf.DUMMYFUNCTION("JOIN("", "", IFERROR(FILTER(ROW(talentCollab:talentCollab), ISNUMBER(SEARCH(C106, talentCollab:talentCollab)), talentIndex:talentIndex=TRUE)))"),"")</f>
        <v/>
      </c>
    </row>
    <row r="107" ht="22.5" customHeight="1">
      <c r="A107" s="1" t="b">
        <v>1</v>
      </c>
      <c r="B107" s="1">
        <f t="shared" si="1"/>
        <v>107</v>
      </c>
      <c r="C107" s="4" t="s">
        <v>480</v>
      </c>
      <c r="D107" s="12" t="s">
        <v>481</v>
      </c>
      <c r="E107" s="4"/>
      <c r="F107" s="12" t="s">
        <v>482</v>
      </c>
      <c r="G107" s="9" t="s">
        <v>31</v>
      </c>
      <c r="H107" s="4" t="s">
        <v>34</v>
      </c>
      <c r="I107" s="8" t="s">
        <v>64</v>
      </c>
      <c r="J107" s="6" t="s">
        <v>90</v>
      </c>
      <c r="K107" s="6"/>
      <c r="L107" s="6" t="str">
        <f>IFERROR(__xludf.DUMMYFUNCTION("JOIN("", "", IFERROR(FILTER(ROW(talentCollab:talentCollab), ISNUMBER(SEARCH(C107, talentCollab:talentCollab)), talentIndex:talentIndex=TRUE)))"),"")</f>
        <v/>
      </c>
    </row>
    <row r="108" ht="22.5" customHeight="1">
      <c r="A108" s="1" t="b">
        <v>1</v>
      </c>
      <c r="B108" s="1">
        <f t="shared" si="1"/>
        <v>108</v>
      </c>
      <c r="C108" s="4" t="s">
        <v>483</v>
      </c>
      <c r="D108" s="12" t="s">
        <v>484</v>
      </c>
      <c r="E108" s="4"/>
      <c r="F108" s="12" t="s">
        <v>485</v>
      </c>
      <c r="G108" s="9" t="s">
        <v>31</v>
      </c>
      <c r="H108" s="4" t="s">
        <v>34</v>
      </c>
      <c r="I108" s="8" t="s">
        <v>64</v>
      </c>
      <c r="J108" s="6" t="s">
        <v>90</v>
      </c>
      <c r="K108" s="6"/>
      <c r="L108" s="6" t="str">
        <f>IFERROR(__xludf.DUMMYFUNCTION("JOIN("", "", IFERROR(FILTER(ROW(talentCollab:talentCollab), ISNUMBER(SEARCH(C108, talentCollab:talentCollab)), talentIndex:talentIndex=TRUE)))"),"")</f>
        <v/>
      </c>
    </row>
    <row r="109" ht="22.5" customHeight="1">
      <c r="A109" s="1" t="b">
        <v>1</v>
      </c>
      <c r="B109" s="1">
        <f t="shared" si="1"/>
        <v>109</v>
      </c>
      <c r="C109" s="4" t="s">
        <v>486</v>
      </c>
      <c r="D109" s="12" t="s">
        <v>487</v>
      </c>
      <c r="E109" s="12" t="s">
        <v>488</v>
      </c>
      <c r="F109" s="12" t="s">
        <v>489</v>
      </c>
      <c r="G109" s="9" t="s">
        <v>31</v>
      </c>
      <c r="H109" s="4" t="s">
        <v>34</v>
      </c>
      <c r="I109" s="8" t="s">
        <v>64</v>
      </c>
      <c r="J109" s="6" t="s">
        <v>90</v>
      </c>
      <c r="K109" s="6"/>
      <c r="L109" s="6" t="str">
        <f>IFERROR(__xludf.DUMMYFUNCTION("JOIN("", "", IFERROR(FILTER(ROW(talentCollab:talentCollab), ISNUMBER(SEARCH(C109, talentCollab:talentCollab)), talentIndex:talentIndex=TRUE)))"),"")</f>
        <v/>
      </c>
    </row>
    <row r="110" ht="22.5" customHeight="1">
      <c r="A110" s="14" t="b">
        <v>1</v>
      </c>
      <c r="B110" s="14">
        <f t="shared" si="1"/>
        <v>110</v>
      </c>
      <c r="C110" s="15" t="s">
        <v>490</v>
      </c>
      <c r="D110" s="16" t="s">
        <v>491</v>
      </c>
      <c r="E110" s="15"/>
      <c r="F110" s="16" t="s">
        <v>492</v>
      </c>
      <c r="G110" s="17" t="s">
        <v>31</v>
      </c>
      <c r="H110" s="15" t="s">
        <v>34</v>
      </c>
      <c r="I110" s="18" t="s">
        <v>64</v>
      </c>
      <c r="J110" s="20" t="s">
        <v>90</v>
      </c>
      <c r="K110" s="20"/>
      <c r="L110" s="20" t="str">
        <f>IFERROR(__xludf.DUMMYFUNCTION("JOIN("", "", IFERROR(FILTER(ROW(talentCollab:talentCollab), ISNUMBER(SEARCH(C110, talentCollab:talentCollab)), talentIndex:talentIndex=TRUE)))"),"")</f>
        <v/>
      </c>
    </row>
    <row r="111" ht="22.5" customHeight="1">
      <c r="A111" s="14" t="b">
        <v>1</v>
      </c>
      <c r="B111" s="14">
        <f t="shared" si="1"/>
        <v>111</v>
      </c>
      <c r="C111" s="15" t="s">
        <v>493</v>
      </c>
      <c r="D111" s="16" t="s">
        <v>494</v>
      </c>
      <c r="E111" s="16" t="s">
        <v>495</v>
      </c>
      <c r="F111" s="16" t="s">
        <v>496</v>
      </c>
      <c r="G111" s="17" t="s">
        <v>31</v>
      </c>
      <c r="H111" s="15" t="s">
        <v>40</v>
      </c>
      <c r="I111" s="18"/>
      <c r="J111" s="20" t="s">
        <v>90</v>
      </c>
      <c r="K111" s="20"/>
      <c r="L111" s="20" t="str">
        <f>IFERROR(__xludf.DUMMYFUNCTION("JOIN("", "", IFERROR(FILTER(ROW(talentCollab:talentCollab), ISNUMBER(SEARCH(C111, talentCollab:talentCollab)), talentIndex:talentIndex=TRUE)))"),"")</f>
        <v/>
      </c>
    </row>
    <row r="112" ht="22.5" customHeight="1">
      <c r="A112" s="14" t="b">
        <v>0</v>
      </c>
      <c r="B112" s="14">
        <f t="shared" si="1"/>
        <v>112</v>
      </c>
      <c r="C112" s="15" t="s">
        <v>497</v>
      </c>
      <c r="D112" s="16" t="s">
        <v>498</v>
      </c>
      <c r="E112" s="15"/>
      <c r="F112" s="16" t="s">
        <v>499</v>
      </c>
      <c r="G112" s="17" t="s">
        <v>51</v>
      </c>
      <c r="H112" s="15" t="s">
        <v>52</v>
      </c>
      <c r="I112" s="18"/>
      <c r="J112" s="20" t="s">
        <v>178</v>
      </c>
      <c r="K112" s="20"/>
      <c r="L112" s="20" t="str">
        <f>IFERROR(__xludf.DUMMYFUNCTION("JOIN("", "", IFERROR(FILTER(ROW(talentCollab:talentCollab), ISNUMBER(SEARCH(C112, talentCollab:talentCollab)), talentIndex:talentIndex=TRUE)))"),"")</f>
        <v/>
      </c>
    </row>
    <row r="113" ht="22.5" customHeight="1">
      <c r="A113" s="14" t="b">
        <v>1</v>
      </c>
      <c r="B113" s="14">
        <f t="shared" si="1"/>
        <v>113</v>
      </c>
      <c r="C113" s="15" t="s">
        <v>500</v>
      </c>
      <c r="D113" s="16" t="s">
        <v>501</v>
      </c>
      <c r="E113" s="16" t="s">
        <v>502</v>
      </c>
      <c r="F113" s="16" t="s">
        <v>503</v>
      </c>
      <c r="G113" s="17" t="s">
        <v>49</v>
      </c>
      <c r="H113" s="15" t="s">
        <v>50</v>
      </c>
      <c r="I113" s="18" t="s">
        <v>64</v>
      </c>
      <c r="J113" s="20" t="s">
        <v>90</v>
      </c>
      <c r="K113" s="20"/>
      <c r="L113" s="20" t="str">
        <f>IFERROR(__xludf.DUMMYFUNCTION("JOIN("", "", IFERROR(FILTER(ROW(talentCollab:talentCollab), ISNUMBER(SEARCH(C113, talentCollab:talentCollab)), talentIndex:talentIndex=TRUE)))"),"")</f>
        <v/>
      </c>
    </row>
    <row r="114" ht="22.5" customHeight="1">
      <c r="A114" s="1" t="b">
        <v>1</v>
      </c>
      <c r="B114" s="1">
        <f t="shared" si="1"/>
        <v>114</v>
      </c>
      <c r="C114" s="4" t="s">
        <v>504</v>
      </c>
      <c r="D114" s="12" t="s">
        <v>505</v>
      </c>
      <c r="E114" s="12" t="s">
        <v>506</v>
      </c>
      <c r="F114" s="4"/>
      <c r="G114" s="9" t="s">
        <v>43</v>
      </c>
      <c r="H114" s="4" t="s">
        <v>44</v>
      </c>
      <c r="I114" s="8" t="s">
        <v>66</v>
      </c>
      <c r="J114" s="6" t="s">
        <v>507</v>
      </c>
      <c r="K114" s="6"/>
      <c r="L114" s="6" t="str">
        <f>IFERROR(__xludf.DUMMYFUNCTION("JOIN("", "", IFERROR(FILTER(ROW(talentCollab:talentCollab), ISNUMBER(SEARCH(C114, talentCollab:talentCollab)), talentIndex:talentIndex=TRUE)))"),"")</f>
        <v/>
      </c>
    </row>
    <row r="115" ht="22.5" customHeight="1">
      <c r="A115" s="1" t="b">
        <v>1</v>
      </c>
      <c r="B115" s="1">
        <f t="shared" si="1"/>
        <v>115</v>
      </c>
      <c r="C115" s="4" t="s">
        <v>508</v>
      </c>
      <c r="D115" s="12" t="s">
        <v>505</v>
      </c>
      <c r="E115" s="12" t="s">
        <v>506</v>
      </c>
      <c r="F115" s="12" t="s">
        <v>509</v>
      </c>
      <c r="G115" s="9" t="s">
        <v>43</v>
      </c>
      <c r="H115" s="4" t="s">
        <v>44</v>
      </c>
      <c r="I115" s="8" t="s">
        <v>66</v>
      </c>
      <c r="J115" s="6" t="s">
        <v>510</v>
      </c>
      <c r="K115" s="6"/>
      <c r="L115" s="6" t="str">
        <f>IFERROR(__xludf.DUMMYFUNCTION("JOIN("", "", IFERROR(FILTER(ROW(talentCollab:talentCollab), ISNUMBER(SEARCH(C115, talentCollab:talentCollab)), talentIndex:talentIndex=TRUE)))"),"")</f>
        <v/>
      </c>
    </row>
    <row r="116" ht="22.5" customHeight="1">
      <c r="A116" s="14" t="b">
        <v>1</v>
      </c>
      <c r="B116" s="14">
        <f t="shared" si="1"/>
        <v>116</v>
      </c>
      <c r="C116" s="15" t="s">
        <v>511</v>
      </c>
      <c r="D116" s="16" t="s">
        <v>505</v>
      </c>
      <c r="E116" s="16" t="s">
        <v>506</v>
      </c>
      <c r="F116" s="16" t="s">
        <v>512</v>
      </c>
      <c r="G116" s="17" t="s">
        <v>43</v>
      </c>
      <c r="H116" s="15" t="s">
        <v>44</v>
      </c>
      <c r="I116" s="18" t="s">
        <v>66</v>
      </c>
      <c r="J116" s="20" t="s">
        <v>510</v>
      </c>
      <c r="K116" s="20"/>
      <c r="L116" s="20" t="str">
        <f>IFERROR(__xludf.DUMMYFUNCTION("JOIN("", "", IFERROR(FILTER(ROW(talentCollab:talentCollab), ISNUMBER(SEARCH(C116, talentCollab:talentCollab)), talentIndex:talentIndex=TRUE)))"),"")</f>
        <v/>
      </c>
    </row>
    <row r="117" ht="22.5" customHeight="1">
      <c r="A117" s="1" t="b">
        <v>1</v>
      </c>
      <c r="B117" s="1">
        <f t="shared" si="1"/>
        <v>117</v>
      </c>
      <c r="C117" s="4" t="s">
        <v>513</v>
      </c>
      <c r="D117" s="12" t="s">
        <v>514</v>
      </c>
      <c r="E117" s="12" t="s">
        <v>515</v>
      </c>
      <c r="F117" s="12" t="s">
        <v>516</v>
      </c>
      <c r="G117" s="9" t="s">
        <v>53</v>
      </c>
      <c r="H117" s="4" t="s">
        <v>54</v>
      </c>
      <c r="I117" s="8" t="s">
        <v>66</v>
      </c>
      <c r="J117" s="6" t="s">
        <v>90</v>
      </c>
      <c r="K117" s="6"/>
      <c r="L117" s="6" t="str">
        <f>IFERROR(__xludf.DUMMYFUNCTION("JOIN("", "", IFERROR(FILTER(ROW(talentCollab:talentCollab), ISNUMBER(SEARCH(C117, talentCollab:talentCollab)), talentIndex:talentIndex=TRUE)))"),"")</f>
        <v/>
      </c>
    </row>
    <row r="118" ht="22.5" customHeight="1">
      <c r="A118" s="1" t="b">
        <v>1</v>
      </c>
      <c r="B118" s="1">
        <f t="shared" si="1"/>
        <v>118</v>
      </c>
      <c r="C118" s="4" t="s">
        <v>517</v>
      </c>
      <c r="D118" s="12" t="s">
        <v>518</v>
      </c>
      <c r="E118" s="12" t="s">
        <v>519</v>
      </c>
      <c r="F118" s="12" t="s">
        <v>520</v>
      </c>
      <c r="G118" s="9" t="s">
        <v>53</v>
      </c>
      <c r="H118" s="4" t="s">
        <v>54</v>
      </c>
      <c r="I118" s="8" t="s">
        <v>66</v>
      </c>
      <c r="J118" s="6" t="s">
        <v>521</v>
      </c>
      <c r="K118" s="6"/>
      <c r="L118" s="6" t="str">
        <f>IFERROR(__xludf.DUMMYFUNCTION("JOIN("", "", IFERROR(FILTER(ROW(talentCollab:talentCollab), ISNUMBER(SEARCH(C118, talentCollab:talentCollab)), talentIndex:talentIndex=TRUE)))"),"")</f>
        <v/>
      </c>
    </row>
    <row r="119" ht="22.5" customHeight="1">
      <c r="A119" s="1" t="b">
        <v>1</v>
      </c>
      <c r="B119" s="1">
        <f t="shared" si="1"/>
        <v>119</v>
      </c>
      <c r="C119" s="4" t="s">
        <v>522</v>
      </c>
      <c r="D119" s="12" t="s">
        <v>523</v>
      </c>
      <c r="E119" s="12" t="s">
        <v>524</v>
      </c>
      <c r="F119" s="12" t="s">
        <v>525</v>
      </c>
      <c r="G119" s="9" t="s">
        <v>53</v>
      </c>
      <c r="H119" s="4" t="s">
        <v>54</v>
      </c>
      <c r="I119" s="8" t="s">
        <v>66</v>
      </c>
      <c r="J119" s="6" t="s">
        <v>526</v>
      </c>
      <c r="K119" s="6"/>
      <c r="L119" s="6" t="str">
        <f>IFERROR(__xludf.DUMMYFUNCTION("JOIN("", "", IFERROR(FILTER(ROW(talentCollab:talentCollab), ISNUMBER(SEARCH(C119, talentCollab:talentCollab)), talentIndex:talentIndex=TRUE)))"),"")</f>
        <v/>
      </c>
    </row>
    <row r="120" ht="22.5" customHeight="1">
      <c r="A120" s="14" t="b">
        <v>1</v>
      </c>
      <c r="B120" s="14">
        <f t="shared" si="1"/>
        <v>120</v>
      </c>
      <c r="C120" s="15" t="s">
        <v>527</v>
      </c>
      <c r="D120" s="16" t="s">
        <v>528</v>
      </c>
      <c r="E120" s="16" t="s">
        <v>529</v>
      </c>
      <c r="F120" s="16" t="s">
        <v>530</v>
      </c>
      <c r="G120" s="17" t="s">
        <v>53</v>
      </c>
      <c r="H120" s="15" t="s">
        <v>54</v>
      </c>
      <c r="I120" s="18" t="s">
        <v>66</v>
      </c>
      <c r="J120" s="20" t="s">
        <v>90</v>
      </c>
      <c r="K120" s="20"/>
      <c r="L120" s="20" t="str">
        <f>IFERROR(__xludf.DUMMYFUNCTION("JOIN("", "", IFERROR(FILTER(ROW(talentCollab:talentCollab), ISNUMBER(SEARCH(C120, talentCollab:talentCollab)), talentIndex:talentIndex=TRUE)))"),"")</f>
        <v/>
      </c>
    </row>
    <row r="121" ht="22.5" customHeight="1">
      <c r="A121" s="1" t="b">
        <v>1</v>
      </c>
      <c r="B121" s="1">
        <f t="shared" si="1"/>
        <v>121</v>
      </c>
      <c r="C121" s="4" t="s">
        <v>531</v>
      </c>
      <c r="D121" s="12" t="s">
        <v>532</v>
      </c>
      <c r="E121" s="4"/>
      <c r="F121" s="12" t="s">
        <v>533</v>
      </c>
      <c r="G121" s="9" t="s">
        <v>29</v>
      </c>
      <c r="H121" s="4" t="s">
        <v>30</v>
      </c>
      <c r="I121" s="8" t="s">
        <v>85</v>
      </c>
      <c r="J121" s="6" t="s">
        <v>90</v>
      </c>
      <c r="K121" s="6"/>
      <c r="L121" s="6" t="str">
        <f>IFERROR(__xludf.DUMMYFUNCTION("JOIN("", "", IFERROR(FILTER(ROW(talentCollab:talentCollab), ISNUMBER(SEARCH(C121, talentCollab:talentCollab)), talentIndex:talentIndex=TRUE)))"),"")</f>
        <v/>
      </c>
    </row>
    <row r="122" ht="22.5" customHeight="1">
      <c r="A122" s="1" t="b">
        <v>1</v>
      </c>
      <c r="B122" s="1">
        <f t="shared" si="1"/>
        <v>122</v>
      </c>
      <c r="C122" s="4" t="s">
        <v>534</v>
      </c>
      <c r="D122" s="12" t="s">
        <v>535</v>
      </c>
      <c r="E122" s="4"/>
      <c r="F122" s="12" t="s">
        <v>536</v>
      </c>
      <c r="G122" s="9" t="s">
        <v>29</v>
      </c>
      <c r="H122" s="4" t="s">
        <v>30</v>
      </c>
      <c r="I122" s="8" t="s">
        <v>85</v>
      </c>
      <c r="J122" s="6" t="s">
        <v>90</v>
      </c>
      <c r="K122" s="6"/>
      <c r="L122" s="6" t="str">
        <f>IFERROR(__xludf.DUMMYFUNCTION("JOIN("", "", IFERROR(FILTER(ROW(talentCollab:talentCollab), ISNUMBER(SEARCH(C122, talentCollab:talentCollab)), talentIndex:talentIndex=TRUE)))"),"")</f>
        <v/>
      </c>
    </row>
    <row r="123" ht="22.5" customHeight="1">
      <c r="A123" s="14" t="b">
        <v>1</v>
      </c>
      <c r="B123" s="14">
        <f t="shared" si="1"/>
        <v>123</v>
      </c>
      <c r="C123" s="15" t="s">
        <v>537</v>
      </c>
      <c r="D123" s="16" t="s">
        <v>538</v>
      </c>
      <c r="E123" s="15"/>
      <c r="F123" s="16" t="s">
        <v>539</v>
      </c>
      <c r="G123" s="17" t="s">
        <v>29</v>
      </c>
      <c r="H123" s="15" t="s">
        <v>30</v>
      </c>
      <c r="I123" s="18" t="s">
        <v>85</v>
      </c>
      <c r="J123" s="20" t="s">
        <v>90</v>
      </c>
      <c r="K123" s="20"/>
      <c r="L123" s="20" t="str">
        <f>IFERROR(__xludf.DUMMYFUNCTION("JOIN("", "", IFERROR(FILTER(ROW(talentCollab:talentCollab), ISNUMBER(SEARCH(C123, talentCollab:talentCollab)), talentIndex:talentIndex=TRUE)))"),"")</f>
        <v/>
      </c>
    </row>
    <row r="124" ht="22.5" customHeight="1">
      <c r="A124" s="1" t="b">
        <v>1</v>
      </c>
      <c r="B124" s="1">
        <f t="shared" si="1"/>
        <v>124</v>
      </c>
      <c r="C124" s="4" t="s">
        <v>540</v>
      </c>
      <c r="D124" s="12" t="s">
        <v>541</v>
      </c>
      <c r="E124" s="12" t="s">
        <v>542</v>
      </c>
      <c r="F124" s="12" t="s">
        <v>543</v>
      </c>
      <c r="G124" s="9" t="s">
        <v>45</v>
      </c>
      <c r="H124" s="4" t="s">
        <v>46</v>
      </c>
      <c r="I124" s="8" t="s">
        <v>85</v>
      </c>
      <c r="J124" s="6" t="s">
        <v>90</v>
      </c>
      <c r="K124" s="6"/>
      <c r="L124" s="6" t="str">
        <f>IFERROR(__xludf.DUMMYFUNCTION("JOIN("", "", IFERROR(FILTER(ROW(talentCollab:talentCollab), ISNUMBER(SEARCH(C124, talentCollab:talentCollab)), talentIndex:talentIndex=TRUE)))"),"")</f>
        <v/>
      </c>
    </row>
    <row r="125" ht="22.5" customHeight="1">
      <c r="A125" s="1" t="b">
        <v>1</v>
      </c>
      <c r="B125" s="1">
        <f t="shared" si="1"/>
        <v>125</v>
      </c>
      <c r="C125" s="4" t="s">
        <v>544</v>
      </c>
      <c r="D125" s="12" t="s">
        <v>545</v>
      </c>
      <c r="E125" s="12" t="s">
        <v>546</v>
      </c>
      <c r="F125" s="12" t="s">
        <v>547</v>
      </c>
      <c r="G125" s="9" t="s">
        <v>45</v>
      </c>
      <c r="H125" s="4" t="s">
        <v>46</v>
      </c>
      <c r="I125" s="8" t="s">
        <v>85</v>
      </c>
      <c r="J125" s="6" t="s">
        <v>90</v>
      </c>
      <c r="K125" s="6"/>
      <c r="L125" s="6" t="str">
        <f>IFERROR(__xludf.DUMMYFUNCTION("JOIN("", "", IFERROR(FILTER(ROW(talentCollab:talentCollab), ISNUMBER(SEARCH(C125, talentCollab:talentCollab)), talentIndex:talentIndex=TRUE)))"),"")</f>
        <v/>
      </c>
    </row>
    <row r="126" ht="22.5" customHeight="1">
      <c r="A126" s="1" t="b">
        <v>1</v>
      </c>
      <c r="B126" s="1">
        <f t="shared" si="1"/>
        <v>126</v>
      </c>
      <c r="C126" s="4" t="s">
        <v>548</v>
      </c>
      <c r="D126" s="12" t="s">
        <v>549</v>
      </c>
      <c r="E126" s="12" t="s">
        <v>550</v>
      </c>
      <c r="F126" s="12" t="s">
        <v>551</v>
      </c>
      <c r="G126" s="9" t="s">
        <v>45</v>
      </c>
      <c r="H126" s="4" t="s">
        <v>46</v>
      </c>
      <c r="I126" s="8" t="s">
        <v>85</v>
      </c>
      <c r="J126" s="6" t="s">
        <v>90</v>
      </c>
      <c r="K126" s="6"/>
      <c r="L126" s="6" t="str">
        <f>IFERROR(__xludf.DUMMYFUNCTION("JOIN("", "", IFERROR(FILTER(ROW(talentCollab:talentCollab), ISNUMBER(SEARCH(C126, talentCollab:talentCollab)), talentIndex:talentIndex=TRUE)))"),"")</f>
        <v/>
      </c>
    </row>
    <row r="127" ht="22.5" customHeight="1">
      <c r="A127" s="14" t="b">
        <v>1</v>
      </c>
      <c r="B127" s="14">
        <f t="shared" si="1"/>
        <v>127</v>
      </c>
      <c r="C127" s="15" t="s">
        <v>552</v>
      </c>
      <c r="D127" s="16" t="s">
        <v>553</v>
      </c>
      <c r="E127" s="16" t="s">
        <v>554</v>
      </c>
      <c r="F127" s="16" t="s">
        <v>555</v>
      </c>
      <c r="G127" s="17" t="s">
        <v>45</v>
      </c>
      <c r="H127" s="15" t="s">
        <v>46</v>
      </c>
      <c r="I127" s="18" t="s">
        <v>85</v>
      </c>
      <c r="J127" s="20" t="s">
        <v>90</v>
      </c>
      <c r="K127" s="20"/>
      <c r="L127" s="20" t="str">
        <f>IFERROR(__xludf.DUMMYFUNCTION("JOIN("", "", IFERROR(FILTER(ROW(talentCollab:talentCollab), ISNUMBER(SEARCH(C127, talentCollab:talentCollab)), talentIndex:talentIndex=TRUE)))"),"")</f>
        <v/>
      </c>
    </row>
    <row r="128" ht="22.5" customHeight="1">
      <c r="A128" s="1" t="b">
        <v>1</v>
      </c>
      <c r="B128" s="1">
        <f t="shared" si="1"/>
        <v>128</v>
      </c>
      <c r="C128" s="4" t="s">
        <v>556</v>
      </c>
      <c r="D128" s="12" t="s">
        <v>557</v>
      </c>
      <c r="E128" s="12" t="s">
        <v>558</v>
      </c>
      <c r="F128" s="12" t="s">
        <v>559</v>
      </c>
      <c r="G128" s="9" t="s">
        <v>23</v>
      </c>
      <c r="H128" s="4" t="s">
        <v>24</v>
      </c>
      <c r="I128" s="8" t="s">
        <v>85</v>
      </c>
      <c r="J128" s="6" t="s">
        <v>90</v>
      </c>
      <c r="K128" s="6"/>
      <c r="L128" s="6" t="str">
        <f>IFERROR(__xludf.DUMMYFUNCTION("JOIN("", "", IFERROR(FILTER(ROW(talentCollab:talentCollab), ISNUMBER(SEARCH(C128, talentCollab:talentCollab)), talentIndex:talentIndex=TRUE)))"),"12")</f>
        <v>12</v>
      </c>
    </row>
    <row r="129" ht="22.5" customHeight="1">
      <c r="A129" s="1" t="b">
        <v>1</v>
      </c>
      <c r="B129" s="1">
        <f t="shared" si="1"/>
        <v>129</v>
      </c>
      <c r="C129" s="4" t="s">
        <v>560</v>
      </c>
      <c r="D129" s="12" t="s">
        <v>561</v>
      </c>
      <c r="E129" s="12" t="s">
        <v>562</v>
      </c>
      <c r="F129" s="12" t="s">
        <v>563</v>
      </c>
      <c r="G129" s="9" t="s">
        <v>23</v>
      </c>
      <c r="H129" s="4" t="s">
        <v>24</v>
      </c>
      <c r="I129" s="8" t="s">
        <v>85</v>
      </c>
      <c r="J129" s="6" t="s">
        <v>90</v>
      </c>
      <c r="K129" s="6"/>
      <c r="L129" s="6" t="str">
        <f>IFERROR(__xludf.DUMMYFUNCTION("JOIN("", "", IFERROR(FILTER(ROW(talentCollab:talentCollab), ISNUMBER(SEARCH(C129, talentCollab:talentCollab)), talentIndex:talentIndex=TRUE)))"),"12")</f>
        <v>12</v>
      </c>
    </row>
    <row r="130" ht="22.5" customHeight="1">
      <c r="A130" s="1" t="b">
        <v>1</v>
      </c>
      <c r="B130" s="1">
        <f t="shared" si="1"/>
        <v>130</v>
      </c>
      <c r="C130" s="4" t="s">
        <v>564</v>
      </c>
      <c r="D130" s="12" t="s">
        <v>565</v>
      </c>
      <c r="E130" s="12" t="s">
        <v>566</v>
      </c>
      <c r="F130" s="12" t="s">
        <v>567</v>
      </c>
      <c r="G130" s="9" t="s">
        <v>23</v>
      </c>
      <c r="H130" s="4" t="s">
        <v>24</v>
      </c>
      <c r="I130" s="8" t="s">
        <v>85</v>
      </c>
      <c r="J130" s="6" t="s">
        <v>90</v>
      </c>
      <c r="K130" s="6"/>
      <c r="L130" s="6" t="str">
        <f>IFERROR(__xludf.DUMMYFUNCTION("JOIN("", "", IFERROR(FILTER(ROW(talentCollab:talentCollab), ISNUMBER(SEARCH(C130, talentCollab:talentCollab)), talentIndex:talentIndex=TRUE)))"),"")</f>
        <v/>
      </c>
    </row>
    <row r="131" ht="22.5" customHeight="1">
      <c r="A131" s="1" t="b">
        <v>1</v>
      </c>
      <c r="B131" s="1">
        <f t="shared" si="1"/>
        <v>131</v>
      </c>
      <c r="C131" s="4" t="s">
        <v>568</v>
      </c>
      <c r="D131" s="12" t="s">
        <v>569</v>
      </c>
      <c r="E131" s="12" t="s">
        <v>570</v>
      </c>
      <c r="F131" s="12" t="s">
        <v>571</v>
      </c>
      <c r="G131" s="9" t="s">
        <v>23</v>
      </c>
      <c r="H131" s="4" t="s">
        <v>24</v>
      </c>
      <c r="I131" s="8" t="s">
        <v>85</v>
      </c>
      <c r="J131" s="6" t="s">
        <v>90</v>
      </c>
      <c r="K131" s="6"/>
      <c r="L131" s="6" t="str">
        <f>IFERROR(__xludf.DUMMYFUNCTION("JOIN("", "", IFERROR(FILTER(ROW(talentCollab:talentCollab), ISNUMBER(SEARCH(C131, talentCollab:talentCollab)), talentIndex:talentIndex=TRUE)))"),"")</f>
        <v/>
      </c>
    </row>
  </sheetData>
  <dataValidations>
    <dataValidation type="list" allowBlank="1" sqref="I2:K131">
      <formula1>#REF!</formula1>
    </dataValidation>
    <dataValidation type="list" allowBlank="1" showErrorMessage="1" sqref="H2:H131">
      <formula1>#REF!</formula1>
    </dataValidation>
    <dataValidation type="list" allowBlank="1" sqref="G2:G131">
      <formula1>#REF!</formula1>
    </dataValidation>
  </dataValidations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D17"/>
    <hyperlink r:id="rId46" ref="E17"/>
    <hyperlink r:id="rId47" ref="F17"/>
    <hyperlink r:id="rId48" ref="D18"/>
    <hyperlink r:id="rId49" ref="E18"/>
    <hyperlink r:id="rId50" ref="F18"/>
    <hyperlink r:id="rId51" ref="D19"/>
    <hyperlink r:id="rId52" ref="E19"/>
    <hyperlink r:id="rId53" ref="F19"/>
    <hyperlink r:id="rId54" ref="D20"/>
    <hyperlink r:id="rId55" ref="E20"/>
    <hyperlink r:id="rId56" ref="F20"/>
    <hyperlink r:id="rId57" ref="D21"/>
    <hyperlink r:id="rId58" ref="E21"/>
    <hyperlink r:id="rId59" ref="F21"/>
    <hyperlink r:id="rId60" ref="D22"/>
    <hyperlink r:id="rId61" ref="E22"/>
    <hyperlink r:id="rId62" ref="F22"/>
    <hyperlink r:id="rId63" ref="D23"/>
    <hyperlink r:id="rId64" ref="E23"/>
    <hyperlink r:id="rId65" ref="F23"/>
    <hyperlink r:id="rId66" ref="D24"/>
    <hyperlink r:id="rId67" ref="E24"/>
    <hyperlink r:id="rId68" ref="F24"/>
    <hyperlink r:id="rId69" ref="D25"/>
    <hyperlink r:id="rId70" ref="E25"/>
    <hyperlink r:id="rId71" ref="F25"/>
    <hyperlink r:id="rId72" ref="E26"/>
    <hyperlink r:id="rId73" ref="F26"/>
    <hyperlink r:id="rId74" ref="D27"/>
    <hyperlink r:id="rId75" ref="E27"/>
    <hyperlink r:id="rId76" ref="F27"/>
    <hyperlink r:id="rId77" ref="D28"/>
    <hyperlink r:id="rId78" ref="E28"/>
    <hyperlink r:id="rId79" ref="F28"/>
    <hyperlink r:id="rId80" ref="D29"/>
    <hyperlink r:id="rId81" ref="E29"/>
    <hyperlink r:id="rId82" ref="F29"/>
    <hyperlink r:id="rId83" ref="D30"/>
    <hyperlink r:id="rId84" ref="E30"/>
    <hyperlink r:id="rId85" ref="F30"/>
    <hyperlink r:id="rId86" ref="D31"/>
    <hyperlink r:id="rId87" ref="E31"/>
    <hyperlink r:id="rId88" ref="F31"/>
    <hyperlink r:id="rId89" ref="D32"/>
    <hyperlink r:id="rId90" ref="E32"/>
    <hyperlink r:id="rId91" ref="D33"/>
    <hyperlink r:id="rId92" ref="E33"/>
    <hyperlink r:id="rId93" ref="F33"/>
    <hyperlink r:id="rId94" ref="D34"/>
    <hyperlink r:id="rId95" ref="E34"/>
    <hyperlink r:id="rId96" ref="F34"/>
    <hyperlink r:id="rId97" ref="D35"/>
    <hyperlink r:id="rId98" ref="E35"/>
    <hyperlink r:id="rId99" ref="F35"/>
    <hyperlink r:id="rId100" ref="D36"/>
    <hyperlink r:id="rId101" ref="E36"/>
    <hyperlink r:id="rId102" ref="F36"/>
    <hyperlink r:id="rId103" ref="E37"/>
    <hyperlink r:id="rId104" ref="D38"/>
    <hyperlink r:id="rId105" ref="E38"/>
    <hyperlink r:id="rId106" ref="F38"/>
    <hyperlink r:id="rId107" ref="E39"/>
    <hyperlink r:id="rId108" ref="F39"/>
    <hyperlink r:id="rId109" ref="D40"/>
    <hyperlink r:id="rId110" ref="E40"/>
    <hyperlink r:id="rId111" ref="F40"/>
    <hyperlink r:id="rId112" ref="D41"/>
    <hyperlink r:id="rId113" ref="E41"/>
    <hyperlink r:id="rId114" ref="F41"/>
    <hyperlink r:id="rId115" ref="D42"/>
    <hyperlink r:id="rId116" ref="E42"/>
    <hyperlink r:id="rId117" ref="F42"/>
    <hyperlink r:id="rId118" ref="D43"/>
    <hyperlink r:id="rId119" ref="E43"/>
    <hyperlink r:id="rId120" ref="F43"/>
    <hyperlink r:id="rId121" ref="D44"/>
    <hyperlink r:id="rId122" ref="E44"/>
    <hyperlink r:id="rId123" ref="D45"/>
    <hyperlink r:id="rId124" ref="E45"/>
    <hyperlink r:id="rId125" ref="F45"/>
    <hyperlink r:id="rId126" ref="D46"/>
    <hyperlink r:id="rId127" ref="E46"/>
    <hyperlink r:id="rId128" ref="D47"/>
    <hyperlink r:id="rId129" ref="E47"/>
    <hyperlink r:id="rId130" ref="F47"/>
    <hyperlink r:id="rId131" ref="D48"/>
    <hyperlink r:id="rId132" ref="E48"/>
    <hyperlink r:id="rId133" ref="F48"/>
    <hyperlink r:id="rId134" ref="D49"/>
    <hyperlink r:id="rId135" ref="E49"/>
    <hyperlink r:id="rId136" ref="F49"/>
    <hyperlink r:id="rId137" ref="D50"/>
    <hyperlink r:id="rId138" ref="E50"/>
    <hyperlink r:id="rId139" ref="F50"/>
    <hyperlink r:id="rId140" ref="D51"/>
    <hyperlink r:id="rId141" ref="E51"/>
    <hyperlink r:id="rId142" ref="F51"/>
    <hyperlink r:id="rId143" ref="D52"/>
    <hyperlink r:id="rId144" ref="E52"/>
    <hyperlink r:id="rId145" ref="F52"/>
    <hyperlink r:id="rId146" ref="D53"/>
    <hyperlink r:id="rId147" ref="E53"/>
    <hyperlink r:id="rId148" ref="F53"/>
    <hyperlink r:id="rId149" ref="D54"/>
    <hyperlink r:id="rId150" ref="E54"/>
    <hyperlink r:id="rId151" ref="F54"/>
    <hyperlink r:id="rId152" ref="D55"/>
    <hyperlink r:id="rId153" ref="E55"/>
    <hyperlink r:id="rId154" ref="F55"/>
    <hyperlink r:id="rId155" ref="D56"/>
    <hyperlink r:id="rId156" ref="E56"/>
    <hyperlink r:id="rId157" ref="F56"/>
    <hyperlink r:id="rId158" ref="D57"/>
    <hyperlink r:id="rId159" ref="F57"/>
    <hyperlink r:id="rId160" ref="D58"/>
    <hyperlink r:id="rId161" ref="E58"/>
    <hyperlink r:id="rId162" ref="F58"/>
    <hyperlink r:id="rId163" ref="D59"/>
    <hyperlink r:id="rId164" ref="E59"/>
    <hyperlink r:id="rId165" ref="F59"/>
    <hyperlink r:id="rId166" ref="D60"/>
    <hyperlink r:id="rId167" ref="E60"/>
    <hyperlink r:id="rId168" ref="F60"/>
    <hyperlink r:id="rId169" ref="D61"/>
    <hyperlink r:id="rId170" ref="E61"/>
    <hyperlink r:id="rId171" ref="F61"/>
    <hyperlink r:id="rId172" ref="D62"/>
    <hyperlink r:id="rId173" ref="E62"/>
    <hyperlink r:id="rId174" ref="D63"/>
    <hyperlink r:id="rId175" ref="E63"/>
    <hyperlink r:id="rId176" ref="F63"/>
    <hyperlink r:id="rId177" ref="D64"/>
    <hyperlink r:id="rId178" ref="E64"/>
    <hyperlink r:id="rId179" ref="F64"/>
    <hyperlink r:id="rId180" ref="D65"/>
    <hyperlink r:id="rId181" ref="F65"/>
    <hyperlink r:id="rId182" ref="D66"/>
    <hyperlink r:id="rId183" ref="F66"/>
    <hyperlink r:id="rId184" ref="D67"/>
    <hyperlink r:id="rId185" ref="E67"/>
    <hyperlink r:id="rId186" ref="D68"/>
    <hyperlink r:id="rId187" ref="E68"/>
    <hyperlink r:id="rId188" ref="F68"/>
    <hyperlink r:id="rId189" ref="D69"/>
    <hyperlink r:id="rId190" ref="E69"/>
    <hyperlink r:id="rId191" ref="F69"/>
    <hyperlink r:id="rId192" ref="D70"/>
    <hyperlink r:id="rId193" ref="E70"/>
    <hyperlink r:id="rId194" ref="F70"/>
    <hyperlink r:id="rId195" ref="D71"/>
    <hyperlink r:id="rId196" ref="E71"/>
    <hyperlink r:id="rId197" ref="D72"/>
    <hyperlink r:id="rId198" ref="E72"/>
    <hyperlink r:id="rId199" ref="F72"/>
    <hyperlink r:id="rId200" ref="D73"/>
    <hyperlink r:id="rId201" ref="E73"/>
    <hyperlink r:id="rId202" ref="F73"/>
    <hyperlink r:id="rId203" ref="E74"/>
    <hyperlink r:id="rId204" ref="D78"/>
    <hyperlink r:id="rId205" ref="E78"/>
    <hyperlink r:id="rId206" ref="F78"/>
    <hyperlink r:id="rId207" ref="D79"/>
    <hyperlink r:id="rId208" ref="F79"/>
    <hyperlink r:id="rId209" ref="D80"/>
    <hyperlink r:id="rId210" ref="E80"/>
    <hyperlink r:id="rId211" ref="D82"/>
    <hyperlink r:id="rId212" ref="E82"/>
    <hyperlink r:id="rId213" ref="D83"/>
    <hyperlink r:id="rId214" ref="E83"/>
    <hyperlink r:id="rId215" ref="D84"/>
    <hyperlink r:id="rId216" ref="E84"/>
    <hyperlink r:id="rId217" ref="D85"/>
    <hyperlink r:id="rId218" ref="E85"/>
    <hyperlink r:id="rId219" ref="D86"/>
    <hyperlink r:id="rId220" ref="E86"/>
    <hyperlink r:id="rId221" ref="D88"/>
    <hyperlink r:id="rId222" ref="E88"/>
    <hyperlink r:id="rId223" ref="F88"/>
    <hyperlink r:id="rId224" ref="D89"/>
    <hyperlink r:id="rId225" ref="E89"/>
    <hyperlink r:id="rId226" ref="F89"/>
    <hyperlink r:id="rId227" ref="D90"/>
    <hyperlink r:id="rId228" ref="E90"/>
    <hyperlink r:id="rId229" ref="F90"/>
    <hyperlink r:id="rId230" ref="D91"/>
    <hyperlink r:id="rId231" ref="E91"/>
    <hyperlink r:id="rId232" ref="F91"/>
    <hyperlink r:id="rId233" ref="D92"/>
    <hyperlink r:id="rId234" ref="E92"/>
    <hyperlink r:id="rId235" ref="F92"/>
    <hyperlink r:id="rId236" ref="D93"/>
    <hyperlink r:id="rId237" ref="E93"/>
    <hyperlink r:id="rId238" ref="F93"/>
    <hyperlink r:id="rId239" ref="D94"/>
    <hyperlink r:id="rId240" ref="F94"/>
    <hyperlink r:id="rId241" ref="D95"/>
    <hyperlink r:id="rId242" ref="E95"/>
    <hyperlink r:id="rId243" ref="F95"/>
    <hyperlink r:id="rId244" ref="D96"/>
    <hyperlink r:id="rId245" ref="F96"/>
    <hyperlink r:id="rId246" ref="D97"/>
    <hyperlink r:id="rId247" ref="F97"/>
    <hyperlink r:id="rId248" ref="D98"/>
    <hyperlink r:id="rId249" ref="F98"/>
    <hyperlink r:id="rId250" ref="D99"/>
    <hyperlink r:id="rId251" ref="F99"/>
    <hyperlink r:id="rId252" ref="D100"/>
    <hyperlink r:id="rId253" ref="E100"/>
    <hyperlink r:id="rId254" ref="F100"/>
    <hyperlink r:id="rId255" ref="D101"/>
    <hyperlink r:id="rId256" ref="F101"/>
    <hyperlink r:id="rId257" ref="D102"/>
    <hyperlink r:id="rId258" ref="F102"/>
    <hyperlink r:id="rId259" ref="D103"/>
    <hyperlink r:id="rId260" ref="F103"/>
    <hyperlink r:id="rId261" ref="D104"/>
    <hyperlink r:id="rId262" ref="E104"/>
    <hyperlink r:id="rId263" ref="F104"/>
    <hyperlink r:id="rId264" ref="D105"/>
    <hyperlink r:id="rId265" ref="E105"/>
    <hyperlink r:id="rId266" ref="F105"/>
    <hyperlink r:id="rId267" ref="D106"/>
    <hyperlink r:id="rId268" ref="F106"/>
    <hyperlink r:id="rId269" ref="D107"/>
    <hyperlink r:id="rId270" ref="F107"/>
    <hyperlink r:id="rId271" ref="D108"/>
    <hyperlink r:id="rId272" ref="F108"/>
    <hyperlink r:id="rId273" ref="D109"/>
    <hyperlink r:id="rId274" ref="E109"/>
    <hyperlink r:id="rId275" ref="F109"/>
    <hyperlink r:id="rId276" ref="D110"/>
    <hyperlink r:id="rId277" ref="F110"/>
    <hyperlink r:id="rId278" ref="D111"/>
    <hyperlink r:id="rId279" ref="E111"/>
    <hyperlink r:id="rId280" ref="F111"/>
    <hyperlink r:id="rId281" ref="D112"/>
    <hyperlink r:id="rId282" ref="F112"/>
    <hyperlink r:id="rId283" ref="D113"/>
    <hyperlink r:id="rId284" ref="E113"/>
    <hyperlink r:id="rId285" ref="F113"/>
    <hyperlink r:id="rId286" ref="D114"/>
    <hyperlink r:id="rId287" ref="E114"/>
    <hyperlink r:id="rId288" ref="D115"/>
    <hyperlink r:id="rId289" ref="E115"/>
    <hyperlink r:id="rId290" ref="F115"/>
    <hyperlink r:id="rId291" ref="D116"/>
    <hyperlink r:id="rId292" ref="E116"/>
    <hyperlink r:id="rId293" ref="F116"/>
    <hyperlink r:id="rId294" ref="D117"/>
    <hyperlink r:id="rId295" ref="E117"/>
    <hyperlink r:id="rId296" ref="F117"/>
    <hyperlink r:id="rId297" ref="D118"/>
    <hyperlink r:id="rId298" ref="E118"/>
    <hyperlink r:id="rId299" ref="F118"/>
    <hyperlink r:id="rId300" ref="D119"/>
    <hyperlink r:id="rId301" ref="E119"/>
    <hyperlink r:id="rId302" ref="F119"/>
    <hyperlink r:id="rId303" ref="D120"/>
    <hyperlink r:id="rId304" ref="E120"/>
    <hyperlink r:id="rId305" ref="F120"/>
    <hyperlink r:id="rId306" ref="D121"/>
    <hyperlink r:id="rId307" ref="F121"/>
    <hyperlink r:id="rId308" ref="D122"/>
    <hyperlink r:id="rId309" ref="F122"/>
    <hyperlink r:id="rId310" ref="D123"/>
    <hyperlink r:id="rId311" ref="F123"/>
    <hyperlink r:id="rId312" ref="D124"/>
    <hyperlink r:id="rId313" ref="E124"/>
    <hyperlink r:id="rId314" ref="F124"/>
    <hyperlink r:id="rId315" ref="D125"/>
    <hyperlink r:id="rId316" ref="E125"/>
    <hyperlink r:id="rId317" ref="F125"/>
    <hyperlink r:id="rId318" ref="D126"/>
    <hyperlink r:id="rId319" ref="E126"/>
    <hyperlink r:id="rId320" ref="F126"/>
    <hyperlink r:id="rId321" ref="D127"/>
    <hyperlink r:id="rId322" ref="E127"/>
    <hyperlink r:id="rId323" ref="F127"/>
    <hyperlink r:id="rId324" ref="D128"/>
    <hyperlink r:id="rId325" ref="E128"/>
    <hyperlink r:id="rId326" ref="F128"/>
    <hyperlink r:id="rId327" ref="D129"/>
    <hyperlink r:id="rId328" ref="E129"/>
    <hyperlink r:id="rId329" ref="F129"/>
    <hyperlink r:id="rId330" ref="D130"/>
    <hyperlink r:id="rId331" ref="E130"/>
    <hyperlink r:id="rId332" ref="F130"/>
    <hyperlink r:id="rId333" ref="D131"/>
    <hyperlink r:id="rId334" ref="E131"/>
    <hyperlink r:id="rId335" ref="F131"/>
  </hyperlinks>
  <drawing r:id="rId336"/>
  <tableParts count="1">
    <tablePart r:id="rId33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22" t="str">
        <f t="array" ref="A1:A17">UNIQUE({formalDisplayGroup:formalDisplayGroup;informalDisplayGroup:informalDisplayGroup})</f>
        <v>BEASTIEZ</v>
      </c>
    </row>
    <row r="2">
      <c r="A2" s="22" t="s">
        <v>29</v>
      </c>
    </row>
    <row r="3">
      <c r="A3" s="22" t="s">
        <v>31</v>
      </c>
    </row>
    <row r="4">
      <c r="A4" s="22" t="s">
        <v>41</v>
      </c>
    </row>
    <row r="5">
      <c r="A5" s="22" t="s">
        <v>43</v>
      </c>
    </row>
    <row r="6">
      <c r="A6" s="22" t="s">
        <v>45</v>
      </c>
    </row>
    <row r="7">
      <c r="A7" s="22" t="s">
        <v>47</v>
      </c>
    </row>
    <row r="8">
      <c r="A8" s="22" t="s">
        <v>49</v>
      </c>
    </row>
    <row r="9">
      <c r="A9" s="22" t="s">
        <v>51</v>
      </c>
    </row>
    <row r="10">
      <c r="A10" s="22" t="s">
        <v>53</v>
      </c>
    </row>
    <row r="11">
      <c r="A11" s="22" t="s">
        <v>55</v>
      </c>
    </row>
    <row r="12">
      <c r="A12" s="22" t="s">
        <v>57</v>
      </c>
    </row>
    <row r="13">
      <c r="A13" s="22" t="s">
        <v>59</v>
      </c>
    </row>
    <row r="14">
      <c r="A14" s="22" t="s">
        <v>61</v>
      </c>
    </row>
    <row r="15">
      <c r="A15" s="22" t="s">
        <v>63</v>
      </c>
    </row>
    <row r="16">
      <c r="A16" s="22" t="s">
        <v>65</v>
      </c>
    </row>
    <row r="17">
      <c r="A17" s="22" t="s">
        <v>67</v>
      </c>
    </row>
  </sheetData>
  <drawing r:id="rId1"/>
</worksheet>
</file>